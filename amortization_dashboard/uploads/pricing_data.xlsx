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5A908A-E96A-4F49-9C54-E5FCA3A22B03}" xr6:coauthVersionLast="47" xr6:coauthVersionMax="47" xr10:uidLastSave="{00000000-0000-0000-0000-000000000000}"/>
  <bookViews>
    <workbookView xWindow="-120" yWindow="-120" windowWidth="29040" windowHeight="15720" tabRatio="301" xr2:uid="{00000000-000D-0000-FFFF-FFFF00000000}"/>
  </bookViews>
  <sheets>
    <sheet name="PRICING" sheetId="1" r:id="rId1"/>
    <sheet name="FOR PRINT" sheetId="2" r:id="rId2"/>
    <sheet name="OLD MODELS" sheetId="4" r:id="rId3"/>
    <sheet name="Sheet3" sheetId="3" r:id="rId4"/>
  </sheets>
  <definedNames>
    <definedName name="_xlnm.Print_Area" localSheetId="1">'FOR PRINT'!$A$1:$X$324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24" i="2" l="1"/>
  <c r="P324" i="2"/>
  <c r="O324" i="2"/>
  <c r="N324" i="2"/>
  <c r="M324" i="2"/>
  <c r="L324" i="2"/>
  <c r="Q323" i="2"/>
  <c r="P323" i="2"/>
  <c r="O323" i="2"/>
  <c r="N323" i="2"/>
  <c r="M323" i="2"/>
  <c r="L323" i="2"/>
  <c r="Q322" i="2"/>
  <c r="P322" i="2"/>
  <c r="O322" i="2"/>
  <c r="N322" i="2"/>
  <c r="M322" i="2"/>
  <c r="L322" i="2"/>
  <c r="Q321" i="2"/>
  <c r="P321" i="2"/>
  <c r="O321" i="2"/>
  <c r="N321" i="2"/>
  <c r="M321" i="2"/>
  <c r="L321" i="2"/>
  <c r="Q320" i="2"/>
  <c r="P320" i="2"/>
  <c r="O320" i="2"/>
  <c r="N320" i="2"/>
  <c r="M320" i="2"/>
  <c r="L320" i="2"/>
  <c r="I317" i="2"/>
  <c r="H317" i="2"/>
  <c r="G317" i="2"/>
  <c r="F317" i="2"/>
  <c r="E317" i="2"/>
  <c r="D317" i="2"/>
  <c r="O316" i="2"/>
  <c r="N316" i="2"/>
  <c r="M316" i="2"/>
  <c r="I316" i="2"/>
  <c r="H316" i="2"/>
  <c r="G316" i="2"/>
  <c r="F316" i="2"/>
  <c r="E316" i="2"/>
  <c r="D316" i="2"/>
  <c r="E315" i="2"/>
  <c r="D315" i="2"/>
  <c r="E314" i="2"/>
  <c r="O312" i="2"/>
  <c r="N312" i="2"/>
  <c r="M312" i="2"/>
  <c r="I312" i="2"/>
  <c r="H312" i="2"/>
  <c r="G312" i="2"/>
  <c r="F312" i="2"/>
  <c r="E312" i="2"/>
  <c r="D312" i="2"/>
  <c r="O311" i="2"/>
  <c r="N311" i="2"/>
  <c r="M311" i="2"/>
  <c r="L311" i="2"/>
  <c r="K311" i="2"/>
  <c r="I311" i="2"/>
  <c r="H311" i="2"/>
  <c r="G311" i="2"/>
  <c r="F311" i="2"/>
  <c r="E311" i="2"/>
  <c r="D311" i="2"/>
  <c r="O310" i="2"/>
  <c r="N310" i="2"/>
  <c r="M310" i="2"/>
  <c r="I310" i="2"/>
  <c r="H310" i="2"/>
  <c r="G310" i="2"/>
  <c r="F310" i="2"/>
  <c r="E310" i="2"/>
  <c r="D310" i="2"/>
  <c r="O309" i="2"/>
  <c r="N309" i="2"/>
  <c r="M309" i="2"/>
  <c r="I309" i="2"/>
  <c r="H309" i="2"/>
  <c r="G309" i="2"/>
  <c r="F309" i="2"/>
  <c r="E309" i="2"/>
  <c r="D309" i="2"/>
  <c r="O308" i="2"/>
  <c r="N308" i="2"/>
  <c r="M308" i="2"/>
  <c r="L308" i="2"/>
  <c r="K308" i="2"/>
  <c r="D308" i="2" s="1"/>
  <c r="O307" i="2"/>
  <c r="N307" i="2"/>
  <c r="M307" i="2"/>
  <c r="L307" i="2"/>
  <c r="K307" i="2"/>
  <c r="I307" i="2" s="1"/>
  <c r="D307" i="2"/>
  <c r="O306" i="2"/>
  <c r="N306" i="2"/>
  <c r="M306" i="2"/>
  <c r="L306" i="2"/>
  <c r="K306" i="2"/>
  <c r="I306" i="2" s="1"/>
  <c r="E306" i="2"/>
  <c r="O305" i="2"/>
  <c r="N305" i="2"/>
  <c r="M305" i="2"/>
  <c r="I305" i="2"/>
  <c r="H305" i="2"/>
  <c r="G305" i="2"/>
  <c r="F305" i="2"/>
  <c r="E305" i="2"/>
  <c r="D305" i="2"/>
  <c r="O304" i="2"/>
  <c r="N304" i="2"/>
  <c r="M304" i="2"/>
  <c r="L304" i="2"/>
  <c r="K304" i="2"/>
  <c r="I304" i="2"/>
  <c r="H304" i="2"/>
  <c r="G304" i="2"/>
  <c r="F304" i="2"/>
  <c r="E304" i="2"/>
  <c r="D304" i="2"/>
  <c r="O303" i="2"/>
  <c r="N303" i="2"/>
  <c r="M303" i="2"/>
  <c r="I303" i="2"/>
  <c r="H303" i="2"/>
  <c r="G303" i="2"/>
  <c r="F303" i="2"/>
  <c r="E303" i="2"/>
  <c r="D303" i="2"/>
  <c r="O302" i="2"/>
  <c r="N302" i="2"/>
  <c r="M302" i="2"/>
  <c r="I302" i="2"/>
  <c r="H302" i="2"/>
  <c r="G302" i="2"/>
  <c r="F302" i="2"/>
  <c r="E302" i="2"/>
  <c r="D302" i="2"/>
  <c r="O301" i="2"/>
  <c r="N301" i="2"/>
  <c r="M301" i="2"/>
  <c r="I301" i="2"/>
  <c r="H301" i="2"/>
  <c r="G301" i="2"/>
  <c r="F301" i="2"/>
  <c r="E301" i="2"/>
  <c r="D301" i="2"/>
  <c r="O300" i="2"/>
  <c r="N300" i="2"/>
  <c r="M300" i="2"/>
  <c r="I300" i="2"/>
  <c r="H300" i="2"/>
  <c r="G300" i="2"/>
  <c r="F300" i="2"/>
  <c r="E300" i="2"/>
  <c r="D300" i="2"/>
  <c r="O299" i="2"/>
  <c r="N299" i="2"/>
  <c r="M299" i="2"/>
  <c r="I299" i="2"/>
  <c r="H299" i="2"/>
  <c r="G299" i="2"/>
  <c r="F299" i="2"/>
  <c r="E299" i="2"/>
  <c r="D299" i="2"/>
  <c r="O298" i="2"/>
  <c r="N298" i="2"/>
  <c r="M298" i="2"/>
  <c r="L298" i="2"/>
  <c r="K298" i="2"/>
  <c r="E298" i="2" s="1"/>
  <c r="I298" i="2"/>
  <c r="H298" i="2"/>
  <c r="G298" i="2"/>
  <c r="F298" i="2"/>
  <c r="D298" i="2"/>
  <c r="O297" i="2"/>
  <c r="N297" i="2"/>
  <c r="M297" i="2"/>
  <c r="L297" i="2"/>
  <c r="K297" i="2"/>
  <c r="I297" i="2" s="1"/>
  <c r="H297" i="2"/>
  <c r="G297" i="2"/>
  <c r="F297" i="2"/>
  <c r="O296" i="2"/>
  <c r="N296" i="2"/>
  <c r="M296" i="2"/>
  <c r="L296" i="2"/>
  <c r="K296" i="2"/>
  <c r="I296" i="2"/>
  <c r="H296" i="2"/>
  <c r="G296" i="2"/>
  <c r="F296" i="2"/>
  <c r="E296" i="2"/>
  <c r="D296" i="2"/>
  <c r="O295" i="2"/>
  <c r="N295" i="2"/>
  <c r="M295" i="2"/>
  <c r="I295" i="2"/>
  <c r="H295" i="2"/>
  <c r="G295" i="2"/>
  <c r="F295" i="2"/>
  <c r="E295" i="2"/>
  <c r="D295" i="2"/>
  <c r="O294" i="2"/>
  <c r="N294" i="2"/>
  <c r="M294" i="2"/>
  <c r="L294" i="2"/>
  <c r="K294" i="2"/>
  <c r="I294" i="2"/>
  <c r="H294" i="2"/>
  <c r="G294" i="2"/>
  <c r="F294" i="2"/>
  <c r="E294" i="2"/>
  <c r="D294" i="2"/>
  <c r="O293" i="2"/>
  <c r="N293" i="2"/>
  <c r="M293" i="2"/>
  <c r="I293" i="2"/>
  <c r="H293" i="2"/>
  <c r="G293" i="2"/>
  <c r="F293" i="2"/>
  <c r="E293" i="2"/>
  <c r="D293" i="2"/>
  <c r="O292" i="2"/>
  <c r="N292" i="2"/>
  <c r="M292" i="2"/>
  <c r="L292" i="2"/>
  <c r="K292" i="2"/>
  <c r="I292" i="2"/>
  <c r="H292" i="2"/>
  <c r="G292" i="2"/>
  <c r="F292" i="2"/>
  <c r="E292" i="2"/>
  <c r="D292" i="2"/>
  <c r="O291" i="2"/>
  <c r="N291" i="2"/>
  <c r="M291" i="2"/>
  <c r="L291" i="2"/>
  <c r="K291" i="2"/>
  <c r="G291" i="2" s="1"/>
  <c r="E291" i="2"/>
  <c r="O290" i="2"/>
  <c r="N290" i="2"/>
  <c r="M290" i="2"/>
  <c r="I290" i="2"/>
  <c r="H290" i="2"/>
  <c r="G290" i="2"/>
  <c r="F290" i="2"/>
  <c r="E290" i="2"/>
  <c r="D290" i="2"/>
  <c r="O287" i="2"/>
  <c r="N287" i="2"/>
  <c r="M287" i="2"/>
  <c r="I287" i="2"/>
  <c r="H287" i="2"/>
  <c r="G287" i="2"/>
  <c r="F287" i="2"/>
  <c r="E287" i="2"/>
  <c r="D287" i="2"/>
  <c r="O286" i="2"/>
  <c r="N286" i="2"/>
  <c r="M286" i="2"/>
  <c r="I286" i="2"/>
  <c r="H286" i="2"/>
  <c r="G286" i="2"/>
  <c r="F286" i="2"/>
  <c r="E286" i="2"/>
  <c r="D286" i="2"/>
  <c r="O285" i="2"/>
  <c r="N285" i="2"/>
  <c r="M285" i="2"/>
  <c r="I285" i="2"/>
  <c r="H285" i="2"/>
  <c r="G285" i="2"/>
  <c r="F285" i="2"/>
  <c r="E285" i="2"/>
  <c r="D285" i="2"/>
  <c r="O284" i="2"/>
  <c r="N284" i="2"/>
  <c r="M284" i="2"/>
  <c r="I284" i="2"/>
  <c r="H284" i="2"/>
  <c r="G284" i="2"/>
  <c r="F284" i="2"/>
  <c r="E284" i="2"/>
  <c r="D284" i="2"/>
  <c r="L283" i="2"/>
  <c r="L282" i="2"/>
  <c r="O280" i="2"/>
  <c r="N280" i="2"/>
  <c r="M280" i="2"/>
  <c r="L280" i="2"/>
  <c r="K280" i="2"/>
  <c r="G280" i="2"/>
  <c r="F280" i="2"/>
  <c r="E280" i="2"/>
  <c r="D280" i="2"/>
  <c r="O279" i="2"/>
  <c r="N279" i="2"/>
  <c r="M279" i="2"/>
  <c r="G279" i="2"/>
  <c r="F279" i="2"/>
  <c r="E279" i="2"/>
  <c r="D279" i="2"/>
  <c r="O278" i="2"/>
  <c r="N278" i="2"/>
  <c r="M278" i="2"/>
  <c r="L278" i="2"/>
  <c r="K278" i="2"/>
  <c r="G278" i="2"/>
  <c r="F278" i="2"/>
  <c r="E278" i="2"/>
  <c r="D278" i="2"/>
  <c r="O277" i="2"/>
  <c r="N277" i="2"/>
  <c r="M277" i="2"/>
  <c r="G277" i="2"/>
  <c r="F277" i="2"/>
  <c r="E277" i="2"/>
  <c r="D277" i="2"/>
  <c r="O276" i="2"/>
  <c r="N276" i="2"/>
  <c r="M276" i="2"/>
  <c r="G276" i="2"/>
  <c r="F276" i="2"/>
  <c r="E276" i="2"/>
  <c r="D276" i="2"/>
  <c r="O274" i="2"/>
  <c r="N274" i="2"/>
  <c r="M274" i="2"/>
  <c r="I274" i="2"/>
  <c r="H274" i="2"/>
  <c r="G274" i="2"/>
  <c r="F274" i="2"/>
  <c r="E274" i="2"/>
  <c r="D274" i="2"/>
  <c r="O273" i="2"/>
  <c r="N273" i="2"/>
  <c r="M273" i="2"/>
  <c r="I273" i="2"/>
  <c r="H273" i="2"/>
  <c r="G273" i="2"/>
  <c r="F273" i="2"/>
  <c r="E273" i="2"/>
  <c r="D273" i="2"/>
  <c r="O272" i="2"/>
  <c r="N272" i="2"/>
  <c r="M272" i="2"/>
  <c r="L272" i="2"/>
  <c r="K272" i="2"/>
  <c r="I272" i="2"/>
  <c r="H272" i="2"/>
  <c r="G272" i="2"/>
  <c r="F272" i="2"/>
  <c r="E272" i="2"/>
  <c r="D272" i="2"/>
  <c r="O271" i="2"/>
  <c r="N271" i="2"/>
  <c r="M271" i="2"/>
  <c r="I271" i="2"/>
  <c r="H271" i="2"/>
  <c r="G271" i="2"/>
  <c r="F271" i="2"/>
  <c r="E271" i="2"/>
  <c r="D271" i="2"/>
  <c r="O270" i="2"/>
  <c r="N270" i="2"/>
  <c r="M270" i="2"/>
  <c r="I270" i="2"/>
  <c r="H270" i="2"/>
  <c r="G270" i="2"/>
  <c r="F270" i="2"/>
  <c r="E270" i="2"/>
  <c r="D270" i="2"/>
  <c r="O269" i="2"/>
  <c r="N269" i="2"/>
  <c r="M269" i="2"/>
  <c r="I269" i="2"/>
  <c r="H269" i="2"/>
  <c r="G269" i="2"/>
  <c r="F269" i="2"/>
  <c r="E269" i="2"/>
  <c r="D269" i="2"/>
  <c r="O268" i="2"/>
  <c r="N268" i="2"/>
  <c r="M268" i="2"/>
  <c r="I268" i="2"/>
  <c r="H268" i="2"/>
  <c r="G268" i="2"/>
  <c r="F268" i="2"/>
  <c r="E268" i="2"/>
  <c r="D268" i="2"/>
  <c r="O267" i="2"/>
  <c r="N267" i="2"/>
  <c r="M267" i="2"/>
  <c r="L267" i="2"/>
  <c r="K267" i="2"/>
  <c r="I267" i="2"/>
  <c r="H267" i="2"/>
  <c r="G267" i="2"/>
  <c r="F267" i="2"/>
  <c r="E267" i="2"/>
  <c r="D267" i="2"/>
  <c r="O266" i="2"/>
  <c r="N266" i="2"/>
  <c r="M266" i="2"/>
  <c r="L266" i="2"/>
  <c r="K266" i="2"/>
  <c r="I266" i="2"/>
  <c r="H266" i="2"/>
  <c r="G266" i="2"/>
  <c r="F266" i="2"/>
  <c r="E266" i="2"/>
  <c r="D266" i="2"/>
  <c r="O265" i="2"/>
  <c r="N265" i="2"/>
  <c r="M265" i="2"/>
  <c r="I265" i="2"/>
  <c r="H265" i="2"/>
  <c r="G265" i="2"/>
  <c r="F265" i="2"/>
  <c r="E265" i="2"/>
  <c r="D265" i="2"/>
  <c r="O264" i="2"/>
  <c r="N264" i="2"/>
  <c r="M264" i="2"/>
  <c r="I264" i="2"/>
  <c r="H264" i="2"/>
  <c r="G264" i="2"/>
  <c r="F264" i="2"/>
  <c r="E264" i="2"/>
  <c r="D264" i="2"/>
  <c r="O263" i="2"/>
  <c r="N263" i="2"/>
  <c r="M263" i="2"/>
  <c r="I263" i="2"/>
  <c r="H263" i="2"/>
  <c r="G263" i="2"/>
  <c r="F263" i="2"/>
  <c r="E263" i="2"/>
  <c r="D263" i="2"/>
  <c r="O262" i="2"/>
  <c r="N262" i="2"/>
  <c r="M262" i="2"/>
  <c r="I262" i="2"/>
  <c r="H262" i="2"/>
  <c r="G262" i="2"/>
  <c r="F262" i="2"/>
  <c r="E262" i="2"/>
  <c r="D262" i="2"/>
  <c r="O261" i="2"/>
  <c r="N261" i="2"/>
  <c r="M261" i="2"/>
  <c r="I261" i="2"/>
  <c r="H261" i="2"/>
  <c r="G261" i="2"/>
  <c r="F261" i="2"/>
  <c r="E261" i="2"/>
  <c r="D261" i="2"/>
  <c r="O260" i="2"/>
  <c r="N260" i="2"/>
  <c r="M260" i="2"/>
  <c r="I260" i="2"/>
  <c r="H260" i="2"/>
  <c r="G260" i="2"/>
  <c r="F260" i="2"/>
  <c r="E260" i="2"/>
  <c r="D260" i="2"/>
  <c r="O259" i="2"/>
  <c r="N259" i="2"/>
  <c r="M259" i="2"/>
  <c r="L259" i="2"/>
  <c r="K259" i="2"/>
  <c r="I259" i="2"/>
  <c r="H259" i="2"/>
  <c r="G259" i="2"/>
  <c r="F259" i="2"/>
  <c r="E259" i="2"/>
  <c r="D259" i="2"/>
  <c r="O258" i="2"/>
  <c r="N258" i="2"/>
  <c r="M258" i="2"/>
  <c r="K258" i="2"/>
  <c r="I258" i="2"/>
  <c r="H258" i="2"/>
  <c r="G258" i="2"/>
  <c r="F258" i="2"/>
  <c r="E258" i="2"/>
  <c r="D258" i="2"/>
  <c r="O257" i="2"/>
  <c r="N257" i="2"/>
  <c r="M257" i="2"/>
  <c r="I257" i="2"/>
  <c r="H257" i="2"/>
  <c r="G257" i="2"/>
  <c r="F257" i="2"/>
  <c r="E257" i="2"/>
  <c r="D257" i="2"/>
  <c r="O256" i="2"/>
  <c r="N256" i="2"/>
  <c r="M256" i="2"/>
  <c r="I256" i="2"/>
  <c r="H256" i="2"/>
  <c r="G256" i="2"/>
  <c r="F256" i="2"/>
  <c r="E256" i="2"/>
  <c r="D256" i="2"/>
  <c r="O255" i="2"/>
  <c r="N255" i="2"/>
  <c r="M255" i="2"/>
  <c r="L255" i="2"/>
  <c r="K255" i="2"/>
  <c r="H255" i="2" s="1"/>
  <c r="F255" i="2"/>
  <c r="E255" i="2"/>
  <c r="D255" i="2"/>
  <c r="O254" i="2"/>
  <c r="N254" i="2"/>
  <c r="M254" i="2"/>
  <c r="L254" i="2"/>
  <c r="K254" i="2"/>
  <c r="G254" i="2" s="1"/>
  <c r="O253" i="2"/>
  <c r="N253" i="2"/>
  <c r="M253" i="2"/>
  <c r="L253" i="2"/>
  <c r="K253" i="2"/>
  <c r="I253" i="2"/>
  <c r="H253" i="2"/>
  <c r="G253" i="2"/>
  <c r="F253" i="2"/>
  <c r="E253" i="2"/>
  <c r="D253" i="2"/>
  <c r="O252" i="2"/>
  <c r="N252" i="2"/>
  <c r="M252" i="2"/>
  <c r="L252" i="2"/>
  <c r="K252" i="2"/>
  <c r="I252" i="2"/>
  <c r="H252" i="2"/>
  <c r="G252" i="2"/>
  <c r="F252" i="2"/>
  <c r="E252" i="2"/>
  <c r="D252" i="2"/>
  <c r="O251" i="2"/>
  <c r="N251" i="2"/>
  <c r="M251" i="2"/>
  <c r="I251" i="2"/>
  <c r="H251" i="2"/>
  <c r="G251" i="2"/>
  <c r="F251" i="2"/>
  <c r="E251" i="2"/>
  <c r="D251" i="2"/>
  <c r="O250" i="2"/>
  <c r="N250" i="2"/>
  <c r="M250" i="2"/>
  <c r="L250" i="2"/>
  <c r="I250" i="2"/>
  <c r="H250" i="2"/>
  <c r="G250" i="2"/>
  <c r="F250" i="2"/>
  <c r="E250" i="2"/>
  <c r="D250" i="2"/>
  <c r="O249" i="2"/>
  <c r="N249" i="2"/>
  <c r="M249" i="2"/>
  <c r="I249" i="2"/>
  <c r="H249" i="2"/>
  <c r="G249" i="2"/>
  <c r="F249" i="2"/>
  <c r="E249" i="2"/>
  <c r="D249" i="2"/>
  <c r="O248" i="2"/>
  <c r="N248" i="2"/>
  <c r="M248" i="2"/>
  <c r="L248" i="2"/>
  <c r="I248" i="2"/>
  <c r="H248" i="2"/>
  <c r="G248" i="2"/>
  <c r="F248" i="2"/>
  <c r="E248" i="2"/>
  <c r="D248" i="2"/>
  <c r="O247" i="2"/>
  <c r="N247" i="2"/>
  <c r="M247" i="2"/>
  <c r="L247" i="2"/>
  <c r="I247" i="2"/>
  <c r="H247" i="2"/>
  <c r="G247" i="2"/>
  <c r="F247" i="2"/>
  <c r="E247" i="2"/>
  <c r="D247" i="2"/>
  <c r="O246" i="2"/>
  <c r="N246" i="2"/>
  <c r="M246" i="2"/>
  <c r="I246" i="2"/>
  <c r="H246" i="2"/>
  <c r="G246" i="2"/>
  <c r="F246" i="2"/>
  <c r="E246" i="2"/>
  <c r="D246" i="2"/>
  <c r="O245" i="2"/>
  <c r="N245" i="2"/>
  <c r="M245" i="2"/>
  <c r="L245" i="2"/>
  <c r="K245" i="2"/>
  <c r="I245" i="2"/>
  <c r="H245" i="2"/>
  <c r="G245" i="2"/>
  <c r="F245" i="2"/>
  <c r="E245" i="2"/>
  <c r="D245" i="2"/>
  <c r="O244" i="2"/>
  <c r="N244" i="2"/>
  <c r="M244" i="2"/>
  <c r="L244" i="2"/>
  <c r="K244" i="2"/>
  <c r="I244" i="2"/>
  <c r="H244" i="2"/>
  <c r="G244" i="2"/>
  <c r="F244" i="2"/>
  <c r="E244" i="2"/>
  <c r="D244" i="2"/>
  <c r="O243" i="2"/>
  <c r="N243" i="2"/>
  <c r="M243" i="2"/>
  <c r="I243" i="2"/>
  <c r="H243" i="2"/>
  <c r="G243" i="2"/>
  <c r="F243" i="2"/>
  <c r="E243" i="2"/>
  <c r="D243" i="2"/>
  <c r="O242" i="2"/>
  <c r="N242" i="2"/>
  <c r="M242" i="2"/>
  <c r="L242" i="2"/>
  <c r="K242" i="2"/>
  <c r="I242" i="2"/>
  <c r="H242" i="2"/>
  <c r="G242" i="2"/>
  <c r="F242" i="2"/>
  <c r="E242" i="2"/>
  <c r="D242" i="2"/>
  <c r="O241" i="2"/>
  <c r="N241" i="2"/>
  <c r="M241" i="2"/>
  <c r="I241" i="2"/>
  <c r="H241" i="2"/>
  <c r="G241" i="2"/>
  <c r="F241" i="2"/>
  <c r="E241" i="2"/>
  <c r="D241" i="2"/>
  <c r="O240" i="2"/>
  <c r="N240" i="2"/>
  <c r="M240" i="2"/>
  <c r="I240" i="2"/>
  <c r="H240" i="2"/>
  <c r="G240" i="2"/>
  <c r="F240" i="2"/>
  <c r="E240" i="2"/>
  <c r="D240" i="2"/>
  <c r="O239" i="2"/>
  <c r="N239" i="2"/>
  <c r="M239" i="2"/>
  <c r="I239" i="2"/>
  <c r="H239" i="2"/>
  <c r="G239" i="2"/>
  <c r="F239" i="2"/>
  <c r="E239" i="2"/>
  <c r="D239" i="2"/>
  <c r="O238" i="2"/>
  <c r="N238" i="2"/>
  <c r="M238" i="2"/>
  <c r="L238" i="2"/>
  <c r="K238" i="2"/>
  <c r="I238" i="2"/>
  <c r="H238" i="2"/>
  <c r="G238" i="2"/>
  <c r="F238" i="2"/>
  <c r="E238" i="2"/>
  <c r="D238" i="2"/>
  <c r="O237" i="2"/>
  <c r="N237" i="2"/>
  <c r="M237" i="2"/>
  <c r="I237" i="2"/>
  <c r="H237" i="2"/>
  <c r="G237" i="2"/>
  <c r="F237" i="2"/>
  <c r="E237" i="2"/>
  <c r="D237" i="2"/>
  <c r="O236" i="2"/>
  <c r="N236" i="2"/>
  <c r="M236" i="2"/>
  <c r="L236" i="2"/>
  <c r="K236" i="2"/>
  <c r="F236" i="2" s="1"/>
  <c r="G236" i="2"/>
  <c r="D236" i="2"/>
  <c r="O235" i="2"/>
  <c r="N235" i="2"/>
  <c r="M235" i="2"/>
  <c r="L235" i="2"/>
  <c r="K235" i="2"/>
  <c r="G235" i="2" s="1"/>
  <c r="I235" i="2"/>
  <c r="H235" i="2"/>
  <c r="O234" i="2"/>
  <c r="N234" i="2"/>
  <c r="M234" i="2"/>
  <c r="I234" i="2"/>
  <c r="H234" i="2"/>
  <c r="G234" i="2"/>
  <c r="F234" i="2"/>
  <c r="E234" i="2"/>
  <c r="D234" i="2"/>
  <c r="O233" i="2"/>
  <c r="N233" i="2"/>
  <c r="M233" i="2"/>
  <c r="I233" i="2"/>
  <c r="H233" i="2"/>
  <c r="G233" i="2"/>
  <c r="F233" i="2"/>
  <c r="E233" i="2"/>
  <c r="D233" i="2"/>
  <c r="O232" i="2"/>
  <c r="N232" i="2"/>
  <c r="M232" i="2"/>
  <c r="L232" i="2"/>
  <c r="K232" i="2"/>
  <c r="I232" i="2"/>
  <c r="H232" i="2"/>
  <c r="G232" i="2"/>
  <c r="F232" i="2"/>
  <c r="E232" i="2"/>
  <c r="D232" i="2"/>
  <c r="O231" i="2"/>
  <c r="N231" i="2"/>
  <c r="M231" i="2"/>
  <c r="L231" i="2"/>
  <c r="K231" i="2"/>
  <c r="I231" i="2" s="1"/>
  <c r="D231" i="2"/>
  <c r="O230" i="2"/>
  <c r="N230" i="2"/>
  <c r="M230" i="2"/>
  <c r="L230" i="2"/>
  <c r="K230" i="2"/>
  <c r="I230" i="2"/>
  <c r="H230" i="2"/>
  <c r="G230" i="2"/>
  <c r="F230" i="2"/>
  <c r="E230" i="2"/>
  <c r="D230" i="2"/>
  <c r="O229" i="2"/>
  <c r="N229" i="2"/>
  <c r="M229" i="2"/>
  <c r="L229" i="2"/>
  <c r="K229" i="2"/>
  <c r="I229" i="2"/>
  <c r="H229" i="2"/>
  <c r="G229" i="2"/>
  <c r="F229" i="2"/>
  <c r="E229" i="2"/>
  <c r="D229" i="2"/>
  <c r="O228" i="2"/>
  <c r="N228" i="2"/>
  <c r="M228" i="2"/>
  <c r="I228" i="2"/>
  <c r="H228" i="2"/>
  <c r="G228" i="2"/>
  <c r="F228" i="2"/>
  <c r="E228" i="2"/>
  <c r="D228" i="2"/>
  <c r="O227" i="2"/>
  <c r="N227" i="2"/>
  <c r="M227" i="2"/>
  <c r="I227" i="2"/>
  <c r="H227" i="2"/>
  <c r="G227" i="2"/>
  <c r="F227" i="2"/>
  <c r="E227" i="2"/>
  <c r="D227" i="2"/>
  <c r="O226" i="2"/>
  <c r="N226" i="2"/>
  <c r="M226" i="2"/>
  <c r="L226" i="2"/>
  <c r="K226" i="2"/>
  <c r="F226" i="2" s="1"/>
  <c r="O225" i="2"/>
  <c r="N225" i="2"/>
  <c r="M225" i="2"/>
  <c r="L225" i="2"/>
  <c r="K225" i="2"/>
  <c r="F225" i="2" s="1"/>
  <c r="I225" i="2"/>
  <c r="H225" i="2"/>
  <c r="G225" i="2"/>
  <c r="O224" i="2"/>
  <c r="N224" i="2"/>
  <c r="M224" i="2"/>
  <c r="I224" i="2"/>
  <c r="H224" i="2"/>
  <c r="G224" i="2"/>
  <c r="F224" i="2"/>
  <c r="E224" i="2"/>
  <c r="D224" i="2"/>
  <c r="O223" i="2"/>
  <c r="N223" i="2"/>
  <c r="M223" i="2"/>
  <c r="I223" i="2"/>
  <c r="H223" i="2"/>
  <c r="G223" i="2"/>
  <c r="F223" i="2"/>
  <c r="E223" i="2"/>
  <c r="D223" i="2"/>
  <c r="O222" i="2"/>
  <c r="N222" i="2"/>
  <c r="M222" i="2"/>
  <c r="L222" i="2"/>
  <c r="K222" i="2"/>
  <c r="I222" i="2"/>
  <c r="H222" i="2"/>
  <c r="G222" i="2"/>
  <c r="F222" i="2"/>
  <c r="E222" i="2"/>
  <c r="D222" i="2"/>
  <c r="O221" i="2"/>
  <c r="N221" i="2"/>
  <c r="M221" i="2"/>
  <c r="L221" i="2"/>
  <c r="K221" i="2"/>
  <c r="I221" i="2"/>
  <c r="H221" i="2"/>
  <c r="G221" i="2"/>
  <c r="F221" i="2"/>
  <c r="E221" i="2"/>
  <c r="D221" i="2"/>
  <c r="O220" i="2"/>
  <c r="N220" i="2"/>
  <c r="M220" i="2"/>
  <c r="L220" i="2"/>
  <c r="K220" i="2"/>
  <c r="I220" i="2"/>
  <c r="H220" i="2"/>
  <c r="G220" i="2"/>
  <c r="F220" i="2"/>
  <c r="E220" i="2"/>
  <c r="D220" i="2"/>
  <c r="O219" i="2"/>
  <c r="N219" i="2"/>
  <c r="M219" i="2"/>
  <c r="I219" i="2"/>
  <c r="H219" i="2"/>
  <c r="G219" i="2"/>
  <c r="F219" i="2"/>
  <c r="E219" i="2"/>
  <c r="D219" i="2"/>
  <c r="O218" i="2"/>
  <c r="N218" i="2"/>
  <c r="M218" i="2"/>
  <c r="I218" i="2"/>
  <c r="H218" i="2"/>
  <c r="G218" i="2"/>
  <c r="F218" i="2"/>
  <c r="E218" i="2"/>
  <c r="D218" i="2"/>
  <c r="O217" i="2"/>
  <c r="N217" i="2"/>
  <c r="M217" i="2"/>
  <c r="L217" i="2"/>
  <c r="K217" i="2"/>
  <c r="I217" i="2"/>
  <c r="H217" i="2"/>
  <c r="G217" i="2"/>
  <c r="F217" i="2"/>
  <c r="E217" i="2"/>
  <c r="D217" i="2"/>
  <c r="O216" i="2"/>
  <c r="N216" i="2"/>
  <c r="M216" i="2"/>
  <c r="I216" i="2"/>
  <c r="H216" i="2"/>
  <c r="G216" i="2"/>
  <c r="F216" i="2"/>
  <c r="E216" i="2"/>
  <c r="D216" i="2"/>
  <c r="O211" i="2"/>
  <c r="N211" i="2"/>
  <c r="M211" i="2"/>
  <c r="L211" i="2"/>
  <c r="K211" i="2"/>
  <c r="I211" i="2" s="1"/>
  <c r="O210" i="2"/>
  <c r="N210" i="2"/>
  <c r="M210" i="2"/>
  <c r="L210" i="2"/>
  <c r="K210" i="2"/>
  <c r="H210" i="2" s="1"/>
  <c r="I210" i="2"/>
  <c r="E210" i="2"/>
  <c r="D210" i="2"/>
  <c r="O208" i="2"/>
  <c r="N208" i="2"/>
  <c r="M208" i="2"/>
  <c r="L208" i="2"/>
  <c r="K208" i="2"/>
  <c r="I208" i="2"/>
  <c r="H208" i="2"/>
  <c r="G208" i="2"/>
  <c r="F208" i="2"/>
  <c r="E208" i="2"/>
  <c r="D208" i="2"/>
  <c r="O207" i="2"/>
  <c r="N207" i="2"/>
  <c r="M207" i="2"/>
  <c r="I207" i="2"/>
  <c r="H207" i="2"/>
  <c r="G207" i="2"/>
  <c r="F207" i="2"/>
  <c r="E207" i="2"/>
  <c r="D207" i="2"/>
  <c r="O206" i="2"/>
  <c r="N206" i="2"/>
  <c r="M206" i="2"/>
  <c r="L206" i="2"/>
  <c r="K206" i="2"/>
  <c r="I206" i="2"/>
  <c r="H206" i="2"/>
  <c r="G206" i="2"/>
  <c r="F206" i="2"/>
  <c r="E206" i="2"/>
  <c r="D206" i="2"/>
  <c r="O205" i="2"/>
  <c r="N205" i="2"/>
  <c r="M205" i="2"/>
  <c r="L205" i="2"/>
  <c r="K205" i="2"/>
  <c r="I205" i="2"/>
  <c r="H205" i="2"/>
  <c r="G205" i="2"/>
  <c r="F205" i="2"/>
  <c r="E205" i="2"/>
  <c r="D205" i="2"/>
  <c r="O204" i="2"/>
  <c r="N204" i="2"/>
  <c r="M204" i="2"/>
  <c r="I204" i="2"/>
  <c r="H204" i="2"/>
  <c r="G204" i="2"/>
  <c r="F204" i="2"/>
  <c r="E204" i="2"/>
  <c r="D204" i="2"/>
  <c r="O203" i="2"/>
  <c r="N203" i="2"/>
  <c r="M203" i="2"/>
  <c r="I203" i="2"/>
  <c r="H203" i="2"/>
  <c r="G203" i="2"/>
  <c r="F203" i="2"/>
  <c r="E203" i="2"/>
  <c r="D203" i="2"/>
  <c r="O201" i="2"/>
  <c r="N201" i="2"/>
  <c r="M201" i="2"/>
  <c r="I201" i="2"/>
  <c r="H201" i="2"/>
  <c r="G201" i="2"/>
  <c r="F201" i="2"/>
  <c r="E201" i="2"/>
  <c r="D201" i="2"/>
  <c r="O200" i="2"/>
  <c r="N200" i="2"/>
  <c r="M200" i="2"/>
  <c r="I200" i="2"/>
  <c r="H200" i="2"/>
  <c r="G200" i="2"/>
  <c r="F200" i="2"/>
  <c r="E200" i="2"/>
  <c r="D200" i="2"/>
  <c r="O199" i="2"/>
  <c r="N199" i="2"/>
  <c r="M199" i="2"/>
  <c r="I199" i="2"/>
  <c r="H199" i="2"/>
  <c r="G199" i="2"/>
  <c r="F199" i="2"/>
  <c r="E199" i="2"/>
  <c r="D199" i="2"/>
  <c r="O198" i="2"/>
  <c r="N198" i="2"/>
  <c r="M198" i="2"/>
  <c r="I198" i="2"/>
  <c r="H198" i="2"/>
  <c r="G198" i="2"/>
  <c r="F198" i="2"/>
  <c r="E198" i="2"/>
  <c r="D198" i="2"/>
  <c r="O197" i="2"/>
  <c r="N197" i="2"/>
  <c r="M197" i="2"/>
  <c r="I197" i="2"/>
  <c r="H197" i="2"/>
  <c r="G197" i="2"/>
  <c r="F197" i="2"/>
  <c r="E197" i="2"/>
  <c r="D197" i="2"/>
  <c r="O196" i="2"/>
  <c r="N196" i="2"/>
  <c r="M196" i="2"/>
  <c r="G196" i="2"/>
  <c r="F196" i="2"/>
  <c r="E196" i="2"/>
  <c r="D196" i="2"/>
  <c r="O194" i="2"/>
  <c r="N194" i="2"/>
  <c r="M194" i="2"/>
  <c r="I194" i="2"/>
  <c r="H194" i="2"/>
  <c r="G194" i="2"/>
  <c r="F194" i="2"/>
  <c r="E194" i="2"/>
  <c r="D194" i="2"/>
  <c r="O193" i="2"/>
  <c r="N193" i="2"/>
  <c r="M193" i="2"/>
  <c r="I193" i="2"/>
  <c r="H193" i="2"/>
  <c r="G193" i="2"/>
  <c r="F193" i="2"/>
  <c r="E193" i="2"/>
  <c r="D193" i="2"/>
  <c r="O192" i="2"/>
  <c r="N192" i="2"/>
  <c r="M192" i="2"/>
  <c r="L192" i="2"/>
  <c r="K192" i="2"/>
  <c r="I192" i="2"/>
  <c r="H192" i="2"/>
  <c r="G192" i="2"/>
  <c r="F192" i="2"/>
  <c r="E192" i="2"/>
  <c r="D192" i="2"/>
  <c r="O191" i="2"/>
  <c r="N191" i="2"/>
  <c r="M191" i="2"/>
  <c r="I191" i="2"/>
  <c r="H191" i="2"/>
  <c r="G191" i="2"/>
  <c r="F191" i="2"/>
  <c r="E191" i="2"/>
  <c r="D191" i="2"/>
  <c r="O190" i="2"/>
  <c r="N190" i="2"/>
  <c r="M190" i="2"/>
  <c r="I190" i="2"/>
  <c r="H190" i="2"/>
  <c r="G190" i="2"/>
  <c r="F190" i="2"/>
  <c r="E190" i="2"/>
  <c r="D190" i="2"/>
  <c r="O189" i="2"/>
  <c r="N189" i="2"/>
  <c r="M189" i="2"/>
  <c r="I189" i="2"/>
  <c r="H189" i="2"/>
  <c r="G189" i="2"/>
  <c r="F189" i="2"/>
  <c r="E189" i="2"/>
  <c r="D189" i="2"/>
  <c r="O188" i="2"/>
  <c r="N188" i="2"/>
  <c r="M188" i="2"/>
  <c r="I188" i="2"/>
  <c r="H188" i="2"/>
  <c r="G188" i="2"/>
  <c r="F188" i="2"/>
  <c r="E188" i="2"/>
  <c r="D188" i="2"/>
  <c r="O187" i="2"/>
  <c r="N187" i="2"/>
  <c r="M187" i="2"/>
  <c r="I187" i="2"/>
  <c r="H187" i="2"/>
  <c r="G187" i="2"/>
  <c r="F187" i="2"/>
  <c r="E187" i="2"/>
  <c r="D187" i="2"/>
  <c r="O186" i="2"/>
  <c r="N186" i="2"/>
  <c r="M186" i="2"/>
  <c r="L186" i="2"/>
  <c r="K186" i="2"/>
  <c r="E186" i="2" s="1"/>
  <c r="G186" i="2"/>
  <c r="F186" i="2"/>
  <c r="O185" i="2"/>
  <c r="N185" i="2"/>
  <c r="M185" i="2"/>
  <c r="L185" i="2"/>
  <c r="K185" i="2"/>
  <c r="G185" i="2"/>
  <c r="F185" i="2"/>
  <c r="E185" i="2"/>
  <c r="D185" i="2"/>
  <c r="O184" i="2"/>
  <c r="N184" i="2"/>
  <c r="M184" i="2"/>
  <c r="L184" i="2"/>
  <c r="G184" i="2"/>
  <c r="F184" i="2"/>
  <c r="E184" i="2"/>
  <c r="D184" i="2"/>
  <c r="O183" i="2"/>
  <c r="N183" i="2"/>
  <c r="M183" i="2"/>
  <c r="L183" i="2"/>
  <c r="K183" i="2"/>
  <c r="G183" i="2"/>
  <c r="F183" i="2"/>
  <c r="E183" i="2"/>
  <c r="D183" i="2"/>
  <c r="O182" i="2"/>
  <c r="N182" i="2"/>
  <c r="M182" i="2"/>
  <c r="L182" i="2"/>
  <c r="K182" i="2"/>
  <c r="G182" i="2"/>
  <c r="F182" i="2"/>
  <c r="E182" i="2"/>
  <c r="D182" i="2"/>
  <c r="O181" i="2"/>
  <c r="N181" i="2"/>
  <c r="M181" i="2"/>
  <c r="G181" i="2"/>
  <c r="F181" i="2"/>
  <c r="E181" i="2"/>
  <c r="D181" i="2"/>
  <c r="O180" i="2"/>
  <c r="N180" i="2"/>
  <c r="M180" i="2"/>
  <c r="G180" i="2"/>
  <c r="F180" i="2"/>
  <c r="E180" i="2"/>
  <c r="D180" i="2"/>
  <c r="O179" i="2"/>
  <c r="N179" i="2"/>
  <c r="M179" i="2"/>
  <c r="L179" i="2"/>
  <c r="K179" i="2"/>
  <c r="I179" i="2"/>
  <c r="H179" i="2"/>
  <c r="G179" i="2"/>
  <c r="F179" i="2"/>
  <c r="E179" i="2"/>
  <c r="D179" i="2"/>
  <c r="O178" i="2"/>
  <c r="N178" i="2"/>
  <c r="M178" i="2"/>
  <c r="L178" i="2"/>
  <c r="K178" i="2"/>
  <c r="I178" i="2" s="1"/>
  <c r="G178" i="2"/>
  <c r="D178" i="2"/>
  <c r="O177" i="2"/>
  <c r="N177" i="2"/>
  <c r="M177" i="2"/>
  <c r="I177" i="2"/>
  <c r="H177" i="2"/>
  <c r="G177" i="2"/>
  <c r="F177" i="2"/>
  <c r="E177" i="2"/>
  <c r="D177" i="2"/>
  <c r="O176" i="2"/>
  <c r="N176" i="2"/>
  <c r="M176" i="2"/>
  <c r="L176" i="2"/>
  <c r="K176" i="2"/>
  <c r="I176" i="2"/>
  <c r="H176" i="2"/>
  <c r="G176" i="2"/>
  <c r="F176" i="2"/>
  <c r="E176" i="2"/>
  <c r="D176" i="2"/>
  <c r="O175" i="2"/>
  <c r="N175" i="2"/>
  <c r="M175" i="2"/>
  <c r="L175" i="2"/>
  <c r="K175" i="2"/>
  <c r="I175" i="2"/>
  <c r="H175" i="2"/>
  <c r="G175" i="2"/>
  <c r="F175" i="2"/>
  <c r="E175" i="2"/>
  <c r="D175" i="2"/>
  <c r="O174" i="2"/>
  <c r="N174" i="2"/>
  <c r="M174" i="2"/>
  <c r="L174" i="2"/>
  <c r="I174" i="2"/>
  <c r="H174" i="2"/>
  <c r="G174" i="2"/>
  <c r="F174" i="2"/>
  <c r="E174" i="2"/>
  <c r="D174" i="2"/>
  <c r="O173" i="2"/>
  <c r="N173" i="2"/>
  <c r="M173" i="2"/>
  <c r="I173" i="2"/>
  <c r="H173" i="2"/>
  <c r="G173" i="2"/>
  <c r="F173" i="2"/>
  <c r="E173" i="2"/>
  <c r="D173" i="2"/>
  <c r="O172" i="2"/>
  <c r="N172" i="2"/>
  <c r="M172" i="2"/>
  <c r="I172" i="2"/>
  <c r="H172" i="2"/>
  <c r="G172" i="2"/>
  <c r="F172" i="2"/>
  <c r="E172" i="2"/>
  <c r="D172" i="2"/>
  <c r="A172" i="2"/>
  <c r="O171" i="2"/>
  <c r="N171" i="2"/>
  <c r="M171" i="2"/>
  <c r="I171" i="2"/>
  <c r="H171" i="2"/>
  <c r="G171" i="2"/>
  <c r="F171" i="2"/>
  <c r="E171" i="2"/>
  <c r="D171" i="2"/>
  <c r="O170" i="2"/>
  <c r="N170" i="2"/>
  <c r="M170" i="2"/>
  <c r="L170" i="2"/>
  <c r="K170" i="2"/>
  <c r="I170" i="2"/>
  <c r="H170" i="2"/>
  <c r="G170" i="2"/>
  <c r="F170" i="2"/>
  <c r="E170" i="2"/>
  <c r="D170" i="2"/>
  <c r="O169" i="2"/>
  <c r="N169" i="2"/>
  <c r="M169" i="2"/>
  <c r="I169" i="2"/>
  <c r="H169" i="2"/>
  <c r="G169" i="2"/>
  <c r="F169" i="2"/>
  <c r="E169" i="2"/>
  <c r="D169" i="2"/>
  <c r="O168" i="2"/>
  <c r="N168" i="2"/>
  <c r="M168" i="2"/>
  <c r="I168" i="2"/>
  <c r="H168" i="2"/>
  <c r="G168" i="2"/>
  <c r="F168" i="2"/>
  <c r="E168" i="2"/>
  <c r="D168" i="2"/>
  <c r="O167" i="2"/>
  <c r="N167" i="2"/>
  <c r="M167" i="2"/>
  <c r="I167" i="2"/>
  <c r="H167" i="2"/>
  <c r="G167" i="2"/>
  <c r="F167" i="2"/>
  <c r="E167" i="2"/>
  <c r="D167" i="2"/>
  <c r="O166" i="2"/>
  <c r="N166" i="2"/>
  <c r="M166" i="2"/>
  <c r="L166" i="2"/>
  <c r="K166" i="2"/>
  <c r="I166" i="2"/>
  <c r="H166" i="2"/>
  <c r="G166" i="2"/>
  <c r="F166" i="2"/>
  <c r="E166" i="2"/>
  <c r="D166" i="2"/>
  <c r="O165" i="2"/>
  <c r="N165" i="2"/>
  <c r="M165" i="2"/>
  <c r="I165" i="2"/>
  <c r="H165" i="2"/>
  <c r="G165" i="2"/>
  <c r="F165" i="2"/>
  <c r="E165" i="2"/>
  <c r="D165" i="2"/>
  <c r="O164" i="2"/>
  <c r="N164" i="2"/>
  <c r="M164" i="2"/>
  <c r="I164" i="2"/>
  <c r="H164" i="2"/>
  <c r="G164" i="2"/>
  <c r="F164" i="2"/>
  <c r="E164" i="2"/>
  <c r="D164" i="2"/>
  <c r="O163" i="2"/>
  <c r="N163" i="2"/>
  <c r="M163" i="2"/>
  <c r="I163" i="2"/>
  <c r="H163" i="2"/>
  <c r="G163" i="2"/>
  <c r="F163" i="2"/>
  <c r="E163" i="2"/>
  <c r="D163" i="2"/>
  <c r="O162" i="2"/>
  <c r="N162" i="2"/>
  <c r="M162" i="2"/>
  <c r="I162" i="2"/>
  <c r="H162" i="2"/>
  <c r="G162" i="2"/>
  <c r="F162" i="2"/>
  <c r="E162" i="2"/>
  <c r="D162" i="2"/>
  <c r="O161" i="2"/>
  <c r="N161" i="2"/>
  <c r="M161" i="2"/>
  <c r="L161" i="2"/>
  <c r="K161" i="2"/>
  <c r="I161" i="2"/>
  <c r="H161" i="2"/>
  <c r="G161" i="2"/>
  <c r="F161" i="2"/>
  <c r="E161" i="2"/>
  <c r="D161" i="2"/>
  <c r="O160" i="2"/>
  <c r="N160" i="2"/>
  <c r="M160" i="2"/>
  <c r="I160" i="2"/>
  <c r="H160" i="2"/>
  <c r="G160" i="2"/>
  <c r="F160" i="2"/>
  <c r="E160" i="2"/>
  <c r="D160" i="2"/>
  <c r="O159" i="2"/>
  <c r="N159" i="2"/>
  <c r="M159" i="2"/>
  <c r="L159" i="2"/>
  <c r="K159" i="2"/>
  <c r="I159" i="2"/>
  <c r="H159" i="2"/>
  <c r="G159" i="2"/>
  <c r="F159" i="2"/>
  <c r="E159" i="2"/>
  <c r="D159" i="2"/>
  <c r="O158" i="2"/>
  <c r="N158" i="2"/>
  <c r="M158" i="2"/>
  <c r="L158" i="2"/>
  <c r="K158" i="2"/>
  <c r="I158" i="2"/>
  <c r="H158" i="2"/>
  <c r="G158" i="2"/>
  <c r="F158" i="2"/>
  <c r="E158" i="2"/>
  <c r="D158" i="2"/>
  <c r="A158" i="2"/>
  <c r="O157" i="2"/>
  <c r="N157" i="2"/>
  <c r="M157" i="2"/>
  <c r="I157" i="2"/>
  <c r="H157" i="2"/>
  <c r="G157" i="2"/>
  <c r="F157" i="2"/>
  <c r="E157" i="2"/>
  <c r="D157" i="2"/>
  <c r="O156" i="2"/>
  <c r="N156" i="2"/>
  <c r="M156" i="2"/>
  <c r="I156" i="2"/>
  <c r="H156" i="2"/>
  <c r="G156" i="2"/>
  <c r="F156" i="2"/>
  <c r="E156" i="2"/>
  <c r="D156" i="2"/>
  <c r="O155" i="2"/>
  <c r="N155" i="2"/>
  <c r="M155" i="2"/>
  <c r="I155" i="2"/>
  <c r="H155" i="2"/>
  <c r="G155" i="2"/>
  <c r="F155" i="2"/>
  <c r="E155" i="2"/>
  <c r="D155" i="2"/>
  <c r="O154" i="2"/>
  <c r="N154" i="2"/>
  <c r="M154" i="2"/>
  <c r="I154" i="2"/>
  <c r="H154" i="2"/>
  <c r="G154" i="2"/>
  <c r="F154" i="2"/>
  <c r="E154" i="2"/>
  <c r="D154" i="2"/>
  <c r="O153" i="2"/>
  <c r="N153" i="2"/>
  <c r="M153" i="2"/>
  <c r="I153" i="2"/>
  <c r="H153" i="2"/>
  <c r="G153" i="2"/>
  <c r="F153" i="2"/>
  <c r="E153" i="2"/>
  <c r="D153" i="2"/>
  <c r="O152" i="2"/>
  <c r="N152" i="2"/>
  <c r="M152" i="2"/>
  <c r="I152" i="2"/>
  <c r="H152" i="2"/>
  <c r="G152" i="2"/>
  <c r="F152" i="2"/>
  <c r="E152" i="2"/>
  <c r="D152" i="2"/>
  <c r="O151" i="2"/>
  <c r="N151" i="2"/>
  <c r="M151" i="2"/>
  <c r="I151" i="2"/>
  <c r="H151" i="2"/>
  <c r="G151" i="2"/>
  <c r="F151" i="2"/>
  <c r="E151" i="2"/>
  <c r="D151" i="2"/>
  <c r="O150" i="2"/>
  <c r="N150" i="2"/>
  <c r="M150" i="2"/>
  <c r="I150" i="2"/>
  <c r="H150" i="2"/>
  <c r="G150" i="2"/>
  <c r="F150" i="2"/>
  <c r="E150" i="2"/>
  <c r="D150" i="2"/>
  <c r="O149" i="2"/>
  <c r="N149" i="2"/>
  <c r="M149" i="2"/>
  <c r="I149" i="2"/>
  <c r="H149" i="2"/>
  <c r="G149" i="2"/>
  <c r="F149" i="2"/>
  <c r="E149" i="2"/>
  <c r="D149" i="2"/>
  <c r="O148" i="2"/>
  <c r="N148" i="2"/>
  <c r="M148" i="2"/>
  <c r="L148" i="2"/>
  <c r="K148" i="2"/>
  <c r="E148" i="2" s="1"/>
  <c r="I148" i="2"/>
  <c r="H148" i="2"/>
  <c r="D148" i="2"/>
  <c r="O147" i="2"/>
  <c r="N147" i="2"/>
  <c r="M147" i="2"/>
  <c r="L147" i="2"/>
  <c r="K147" i="2"/>
  <c r="E147" i="2" s="1"/>
  <c r="I147" i="2"/>
  <c r="G147" i="2"/>
  <c r="F147" i="2"/>
  <c r="O146" i="2"/>
  <c r="N146" i="2"/>
  <c r="M146" i="2"/>
  <c r="L146" i="2"/>
  <c r="K146" i="2"/>
  <c r="I146" i="2"/>
  <c r="H146" i="2"/>
  <c r="G146" i="2"/>
  <c r="F146" i="2"/>
  <c r="E146" i="2"/>
  <c r="D146" i="2"/>
  <c r="O145" i="2"/>
  <c r="N145" i="2"/>
  <c r="M145" i="2"/>
  <c r="L145" i="2"/>
  <c r="K145" i="2"/>
  <c r="I145" i="2"/>
  <c r="H145" i="2"/>
  <c r="G145" i="2"/>
  <c r="F145" i="2"/>
  <c r="E145" i="2"/>
  <c r="D145" i="2"/>
  <c r="O144" i="2"/>
  <c r="N144" i="2"/>
  <c r="M144" i="2"/>
  <c r="L144" i="2"/>
  <c r="K144" i="2"/>
  <c r="E144" i="2" s="1"/>
  <c r="F144" i="2"/>
  <c r="O143" i="2"/>
  <c r="N143" i="2"/>
  <c r="M143" i="2"/>
  <c r="L143" i="2"/>
  <c r="K143" i="2"/>
  <c r="G143" i="2"/>
  <c r="F143" i="2"/>
  <c r="E143" i="2"/>
  <c r="D143" i="2"/>
  <c r="O142" i="2"/>
  <c r="N142" i="2"/>
  <c r="M142" i="2"/>
  <c r="L142" i="2"/>
  <c r="K142" i="2"/>
  <c r="I142" i="2"/>
  <c r="H142" i="2"/>
  <c r="G142" i="2"/>
  <c r="F142" i="2"/>
  <c r="E142" i="2"/>
  <c r="D142" i="2"/>
  <c r="O141" i="2"/>
  <c r="N141" i="2"/>
  <c r="M141" i="2"/>
  <c r="L141" i="2"/>
  <c r="K141" i="2"/>
  <c r="I141" i="2"/>
  <c r="H141" i="2"/>
  <c r="G141" i="2"/>
  <c r="F141" i="2"/>
  <c r="E141" i="2"/>
  <c r="D141" i="2"/>
  <c r="O140" i="2"/>
  <c r="N140" i="2"/>
  <c r="M140" i="2"/>
  <c r="L140" i="2"/>
  <c r="K140" i="2"/>
  <c r="I140" i="2"/>
  <c r="H140" i="2"/>
  <c r="G140" i="2"/>
  <c r="F140" i="2"/>
  <c r="E140" i="2"/>
  <c r="D140" i="2"/>
  <c r="O139" i="2"/>
  <c r="N139" i="2"/>
  <c r="M139" i="2"/>
  <c r="L139" i="2"/>
  <c r="K139" i="2"/>
  <c r="I139" i="2"/>
  <c r="H139" i="2"/>
  <c r="G139" i="2"/>
  <c r="F139" i="2"/>
  <c r="E139" i="2"/>
  <c r="D139" i="2"/>
  <c r="O138" i="2"/>
  <c r="N138" i="2"/>
  <c r="M138" i="2"/>
  <c r="L138" i="2"/>
  <c r="K138" i="2"/>
  <c r="I138" i="2" s="1"/>
  <c r="O137" i="2"/>
  <c r="N137" i="2"/>
  <c r="M137" i="2"/>
  <c r="L137" i="2"/>
  <c r="K137" i="2"/>
  <c r="I137" i="2"/>
  <c r="H137" i="2"/>
  <c r="G137" i="2"/>
  <c r="F137" i="2"/>
  <c r="E137" i="2"/>
  <c r="D137" i="2"/>
  <c r="O136" i="2"/>
  <c r="N136" i="2"/>
  <c r="M136" i="2"/>
  <c r="K136" i="2"/>
  <c r="I136" i="2"/>
  <c r="H136" i="2"/>
  <c r="G136" i="2"/>
  <c r="F136" i="2"/>
  <c r="E136" i="2"/>
  <c r="D136" i="2"/>
  <c r="O135" i="2"/>
  <c r="N135" i="2"/>
  <c r="M135" i="2"/>
  <c r="L135" i="2"/>
  <c r="K135" i="2"/>
  <c r="I135" i="2"/>
  <c r="H135" i="2"/>
  <c r="G135" i="2"/>
  <c r="F135" i="2"/>
  <c r="E135" i="2"/>
  <c r="D135" i="2"/>
  <c r="O134" i="2"/>
  <c r="N134" i="2"/>
  <c r="M134" i="2"/>
  <c r="L134" i="2"/>
  <c r="K134" i="2"/>
  <c r="I134" i="2"/>
  <c r="H134" i="2"/>
  <c r="G134" i="2"/>
  <c r="F134" i="2"/>
  <c r="E134" i="2"/>
  <c r="D134" i="2"/>
  <c r="O133" i="2"/>
  <c r="N133" i="2"/>
  <c r="M133" i="2"/>
  <c r="L133" i="2"/>
  <c r="K133" i="2"/>
  <c r="I133" i="2" s="1"/>
  <c r="D133" i="2"/>
  <c r="O132" i="2"/>
  <c r="N132" i="2"/>
  <c r="M132" i="2"/>
  <c r="L132" i="2"/>
  <c r="K132" i="2"/>
  <c r="H132" i="2" s="1"/>
  <c r="I132" i="2"/>
  <c r="G132" i="2"/>
  <c r="D132" i="2"/>
  <c r="O131" i="2"/>
  <c r="N131" i="2"/>
  <c r="M131" i="2"/>
  <c r="I131" i="2"/>
  <c r="H131" i="2"/>
  <c r="G131" i="2"/>
  <c r="F131" i="2"/>
  <c r="E131" i="2"/>
  <c r="D131" i="2"/>
  <c r="O130" i="2"/>
  <c r="N130" i="2"/>
  <c r="M130" i="2"/>
  <c r="L130" i="2"/>
  <c r="K130" i="2"/>
  <c r="I130" i="2"/>
  <c r="H130" i="2"/>
  <c r="G130" i="2"/>
  <c r="F130" i="2"/>
  <c r="E130" i="2"/>
  <c r="D130" i="2"/>
  <c r="O129" i="2"/>
  <c r="N129" i="2"/>
  <c r="M129" i="2"/>
  <c r="I129" i="2"/>
  <c r="H129" i="2"/>
  <c r="G129" i="2"/>
  <c r="F129" i="2"/>
  <c r="E129" i="2"/>
  <c r="D129" i="2"/>
  <c r="O128" i="2"/>
  <c r="N128" i="2"/>
  <c r="M128" i="2"/>
  <c r="I128" i="2"/>
  <c r="H128" i="2"/>
  <c r="G128" i="2"/>
  <c r="F128" i="2"/>
  <c r="E128" i="2"/>
  <c r="D128" i="2"/>
  <c r="O127" i="2"/>
  <c r="N127" i="2"/>
  <c r="M127" i="2"/>
  <c r="L127" i="2"/>
  <c r="K127" i="2"/>
  <c r="I127" i="2"/>
  <c r="H127" i="2"/>
  <c r="G127" i="2"/>
  <c r="F127" i="2"/>
  <c r="E127" i="2"/>
  <c r="D127" i="2"/>
  <c r="O126" i="2"/>
  <c r="N126" i="2"/>
  <c r="M126" i="2"/>
  <c r="I126" i="2"/>
  <c r="H126" i="2"/>
  <c r="G126" i="2"/>
  <c r="F126" i="2"/>
  <c r="E126" i="2"/>
  <c r="D126" i="2"/>
  <c r="O125" i="2"/>
  <c r="N125" i="2"/>
  <c r="M125" i="2"/>
  <c r="I125" i="2"/>
  <c r="H125" i="2"/>
  <c r="G125" i="2"/>
  <c r="F125" i="2"/>
  <c r="E125" i="2"/>
  <c r="D125" i="2"/>
  <c r="O124" i="2"/>
  <c r="N124" i="2"/>
  <c r="M124" i="2"/>
  <c r="I124" i="2"/>
  <c r="H124" i="2"/>
  <c r="G124" i="2"/>
  <c r="F124" i="2"/>
  <c r="E124" i="2"/>
  <c r="D124" i="2"/>
  <c r="O123" i="2"/>
  <c r="N123" i="2"/>
  <c r="M123" i="2"/>
  <c r="I123" i="2"/>
  <c r="H123" i="2"/>
  <c r="G123" i="2"/>
  <c r="F123" i="2"/>
  <c r="E123" i="2"/>
  <c r="D123" i="2"/>
  <c r="O122" i="2"/>
  <c r="N122" i="2"/>
  <c r="M122" i="2"/>
  <c r="I122" i="2"/>
  <c r="H122" i="2"/>
  <c r="G122" i="2"/>
  <c r="F122" i="2"/>
  <c r="E122" i="2"/>
  <c r="D122" i="2"/>
  <c r="O121" i="2"/>
  <c r="N121" i="2"/>
  <c r="M121" i="2"/>
  <c r="I121" i="2"/>
  <c r="H121" i="2"/>
  <c r="G121" i="2"/>
  <c r="F121" i="2"/>
  <c r="E121" i="2"/>
  <c r="D121" i="2"/>
  <c r="O120" i="2"/>
  <c r="N120" i="2"/>
  <c r="M120" i="2"/>
  <c r="I120" i="2"/>
  <c r="H120" i="2"/>
  <c r="G120" i="2"/>
  <c r="F120" i="2"/>
  <c r="E120" i="2"/>
  <c r="D120" i="2"/>
  <c r="O119" i="2"/>
  <c r="N119" i="2"/>
  <c r="M119" i="2"/>
  <c r="L119" i="2"/>
  <c r="K119" i="2"/>
  <c r="I119" i="2"/>
  <c r="H119" i="2"/>
  <c r="G119" i="2"/>
  <c r="F119" i="2"/>
  <c r="E119" i="2"/>
  <c r="D119" i="2"/>
  <c r="O118" i="2"/>
  <c r="N118" i="2"/>
  <c r="M118" i="2"/>
  <c r="I118" i="2"/>
  <c r="H118" i="2"/>
  <c r="G118" i="2"/>
  <c r="F118" i="2"/>
  <c r="E118" i="2"/>
  <c r="D118" i="2"/>
  <c r="O117" i="2"/>
  <c r="N117" i="2"/>
  <c r="M117" i="2"/>
  <c r="I117" i="2"/>
  <c r="H117" i="2"/>
  <c r="G117" i="2"/>
  <c r="F117" i="2"/>
  <c r="E117" i="2"/>
  <c r="D117" i="2"/>
  <c r="O116" i="2"/>
  <c r="N116" i="2"/>
  <c r="M116" i="2"/>
  <c r="L116" i="2"/>
  <c r="K116" i="2"/>
  <c r="I116" i="2"/>
  <c r="H116" i="2"/>
  <c r="G116" i="2"/>
  <c r="F116" i="2"/>
  <c r="E116" i="2"/>
  <c r="D116" i="2"/>
  <c r="O115" i="2"/>
  <c r="N115" i="2"/>
  <c r="M115" i="2"/>
  <c r="L115" i="2"/>
  <c r="K115" i="2"/>
  <c r="I115" i="2"/>
  <c r="H115" i="2"/>
  <c r="G115" i="2"/>
  <c r="F115" i="2"/>
  <c r="E115" i="2"/>
  <c r="D115" i="2"/>
  <c r="O114" i="2"/>
  <c r="N114" i="2"/>
  <c r="M114" i="2"/>
  <c r="I114" i="2"/>
  <c r="H114" i="2"/>
  <c r="G114" i="2"/>
  <c r="F114" i="2"/>
  <c r="E114" i="2"/>
  <c r="D114" i="2"/>
  <c r="O113" i="2"/>
  <c r="N113" i="2"/>
  <c r="M113" i="2"/>
  <c r="K113" i="2"/>
  <c r="F113" i="2" s="1"/>
  <c r="G113" i="2"/>
  <c r="D113" i="2"/>
  <c r="O112" i="2"/>
  <c r="N112" i="2"/>
  <c r="M112" i="2"/>
  <c r="G112" i="2"/>
  <c r="F112" i="2"/>
  <c r="E112" i="2"/>
  <c r="D112" i="2"/>
  <c r="O110" i="2"/>
  <c r="N110" i="2"/>
  <c r="M110" i="2"/>
  <c r="G110" i="2"/>
  <c r="F110" i="2"/>
  <c r="E110" i="2"/>
  <c r="D110" i="2"/>
  <c r="O109" i="2"/>
  <c r="N109" i="2"/>
  <c r="M109" i="2"/>
  <c r="G109" i="2"/>
  <c r="F109" i="2"/>
  <c r="E109" i="2"/>
  <c r="D109" i="2"/>
  <c r="O108" i="2"/>
  <c r="N108" i="2"/>
  <c r="M108" i="2"/>
  <c r="L108" i="2"/>
  <c r="K108" i="2"/>
  <c r="G108" i="2" s="1"/>
  <c r="I108" i="2"/>
  <c r="H108" i="2"/>
  <c r="O107" i="2"/>
  <c r="N107" i="2"/>
  <c r="M107" i="2"/>
  <c r="L107" i="2"/>
  <c r="K107" i="2"/>
  <c r="I107" i="2" s="1"/>
  <c r="D107" i="2"/>
  <c r="O106" i="2"/>
  <c r="N106" i="2"/>
  <c r="M106" i="2"/>
  <c r="L106" i="2"/>
  <c r="K106" i="2"/>
  <c r="I106" i="2"/>
  <c r="H106" i="2"/>
  <c r="G106" i="2"/>
  <c r="F106" i="2"/>
  <c r="E106" i="2"/>
  <c r="D106" i="2"/>
  <c r="O105" i="2"/>
  <c r="N105" i="2"/>
  <c r="M105" i="2"/>
  <c r="L105" i="2"/>
  <c r="K105" i="2"/>
  <c r="I105" i="2"/>
  <c r="H105" i="2"/>
  <c r="G105" i="2"/>
  <c r="F105" i="2"/>
  <c r="E105" i="2"/>
  <c r="D105" i="2"/>
  <c r="O104" i="2"/>
  <c r="N104" i="2"/>
  <c r="M104" i="2"/>
  <c r="I104" i="2"/>
  <c r="H104" i="2"/>
  <c r="G104" i="2"/>
  <c r="F104" i="2"/>
  <c r="E104" i="2"/>
  <c r="D104" i="2"/>
  <c r="O103" i="2"/>
  <c r="N103" i="2"/>
  <c r="M103" i="2"/>
  <c r="I103" i="2"/>
  <c r="H103" i="2"/>
  <c r="G103" i="2"/>
  <c r="F103" i="2"/>
  <c r="E103" i="2"/>
  <c r="D103" i="2"/>
  <c r="O102" i="2"/>
  <c r="N102" i="2"/>
  <c r="M102" i="2"/>
  <c r="I102" i="2"/>
  <c r="H102" i="2"/>
  <c r="G102" i="2"/>
  <c r="F102" i="2"/>
  <c r="E102" i="2"/>
  <c r="D102" i="2"/>
  <c r="O101" i="2"/>
  <c r="N101" i="2"/>
  <c r="M101" i="2"/>
  <c r="I101" i="2"/>
  <c r="H101" i="2"/>
  <c r="G101" i="2"/>
  <c r="F101" i="2"/>
  <c r="E101" i="2"/>
  <c r="D101" i="2"/>
  <c r="O100" i="2"/>
  <c r="N100" i="2"/>
  <c r="M100" i="2"/>
  <c r="I100" i="2"/>
  <c r="H100" i="2"/>
  <c r="G100" i="2"/>
  <c r="F100" i="2"/>
  <c r="E100" i="2"/>
  <c r="D100" i="2"/>
  <c r="O99" i="2"/>
  <c r="N99" i="2"/>
  <c r="M99" i="2"/>
  <c r="I99" i="2"/>
  <c r="H99" i="2"/>
  <c r="G99" i="2"/>
  <c r="F99" i="2"/>
  <c r="E99" i="2"/>
  <c r="D99" i="2"/>
  <c r="O98" i="2"/>
  <c r="N98" i="2"/>
  <c r="M98" i="2"/>
  <c r="I98" i="2"/>
  <c r="H98" i="2"/>
  <c r="G98" i="2"/>
  <c r="F98" i="2"/>
  <c r="E98" i="2"/>
  <c r="D98" i="2"/>
  <c r="O94" i="2"/>
  <c r="N94" i="2"/>
  <c r="M94" i="2"/>
  <c r="L94" i="2"/>
  <c r="I94" i="2"/>
  <c r="H94" i="2"/>
  <c r="G94" i="2"/>
  <c r="F94" i="2"/>
  <c r="E94" i="2"/>
  <c r="D94" i="2"/>
  <c r="O93" i="2"/>
  <c r="N93" i="2"/>
  <c r="M93" i="2"/>
  <c r="L93" i="2"/>
  <c r="K93" i="2"/>
  <c r="I93" i="2"/>
  <c r="H93" i="2"/>
  <c r="G93" i="2"/>
  <c r="F93" i="2"/>
  <c r="E93" i="2"/>
  <c r="D93" i="2"/>
  <c r="O92" i="2"/>
  <c r="N92" i="2"/>
  <c r="M92" i="2"/>
  <c r="L92" i="2"/>
  <c r="K92" i="2"/>
  <c r="I92" i="2"/>
  <c r="H92" i="2"/>
  <c r="G92" i="2"/>
  <c r="F92" i="2"/>
  <c r="E92" i="2"/>
  <c r="D92" i="2"/>
  <c r="O91" i="2"/>
  <c r="N91" i="2"/>
  <c r="M91" i="2"/>
  <c r="I91" i="2"/>
  <c r="H91" i="2"/>
  <c r="G91" i="2"/>
  <c r="F91" i="2"/>
  <c r="E91" i="2"/>
  <c r="D91" i="2"/>
  <c r="O90" i="2"/>
  <c r="N90" i="2"/>
  <c r="M90" i="2"/>
  <c r="I90" i="2"/>
  <c r="H90" i="2"/>
  <c r="G90" i="2"/>
  <c r="F90" i="2"/>
  <c r="E90" i="2"/>
  <c r="D90" i="2"/>
  <c r="O89" i="2"/>
  <c r="N89" i="2"/>
  <c r="M89" i="2"/>
  <c r="L89" i="2"/>
  <c r="K89" i="2"/>
  <c r="I89" i="2"/>
  <c r="H89" i="2"/>
  <c r="G89" i="2"/>
  <c r="F89" i="2"/>
  <c r="E89" i="2"/>
  <c r="D89" i="2"/>
  <c r="O88" i="2"/>
  <c r="N88" i="2"/>
  <c r="M88" i="2"/>
  <c r="L88" i="2"/>
  <c r="K88" i="2"/>
  <c r="I88" i="2"/>
  <c r="H88" i="2"/>
  <c r="G88" i="2"/>
  <c r="F88" i="2"/>
  <c r="E88" i="2"/>
  <c r="D88" i="2"/>
  <c r="O87" i="2"/>
  <c r="N87" i="2"/>
  <c r="M87" i="2"/>
  <c r="I87" i="2"/>
  <c r="H87" i="2"/>
  <c r="G87" i="2"/>
  <c r="F87" i="2"/>
  <c r="E87" i="2"/>
  <c r="D87" i="2"/>
  <c r="O85" i="2"/>
  <c r="N85" i="2"/>
  <c r="M85" i="2"/>
  <c r="L85" i="2"/>
  <c r="K85" i="2"/>
  <c r="D85" i="2" s="1"/>
  <c r="E85" i="2"/>
  <c r="O84" i="2"/>
  <c r="N84" i="2"/>
  <c r="M84" i="2"/>
  <c r="L84" i="2"/>
  <c r="K84" i="2"/>
  <c r="G84" i="2" s="1"/>
  <c r="O83" i="2"/>
  <c r="N83" i="2"/>
  <c r="M83" i="2"/>
  <c r="L83" i="2"/>
  <c r="K83" i="2"/>
  <c r="D83" i="2" s="1"/>
  <c r="O82" i="2"/>
  <c r="N82" i="2"/>
  <c r="M82" i="2"/>
  <c r="G82" i="2"/>
  <c r="F82" i="2"/>
  <c r="E82" i="2"/>
  <c r="D82" i="2"/>
  <c r="O81" i="2"/>
  <c r="N81" i="2"/>
  <c r="M81" i="2"/>
  <c r="G81" i="2"/>
  <c r="F81" i="2"/>
  <c r="E81" i="2"/>
  <c r="D81" i="2"/>
  <c r="O78" i="2"/>
  <c r="N78" i="2"/>
  <c r="M78" i="2"/>
  <c r="I78" i="2"/>
  <c r="H78" i="2"/>
  <c r="G78" i="2"/>
  <c r="F78" i="2"/>
  <c r="E78" i="2"/>
  <c r="D78" i="2"/>
  <c r="O77" i="2"/>
  <c r="N77" i="2"/>
  <c r="M77" i="2"/>
  <c r="I77" i="2"/>
  <c r="H77" i="2"/>
  <c r="G77" i="2"/>
  <c r="F77" i="2"/>
  <c r="E77" i="2"/>
  <c r="D77" i="2"/>
  <c r="O76" i="2"/>
  <c r="N76" i="2"/>
  <c r="M76" i="2"/>
  <c r="L76" i="2"/>
  <c r="K76" i="2"/>
  <c r="I76" i="2"/>
  <c r="H76" i="2"/>
  <c r="G76" i="2"/>
  <c r="F76" i="2"/>
  <c r="E76" i="2"/>
  <c r="D76" i="2"/>
  <c r="O75" i="2"/>
  <c r="N75" i="2"/>
  <c r="M75" i="2"/>
  <c r="I75" i="2"/>
  <c r="H75" i="2"/>
  <c r="G75" i="2"/>
  <c r="F75" i="2"/>
  <c r="E75" i="2"/>
  <c r="D75" i="2"/>
  <c r="O74" i="2"/>
  <c r="N74" i="2"/>
  <c r="M74" i="2"/>
  <c r="I74" i="2"/>
  <c r="H74" i="2"/>
  <c r="G74" i="2"/>
  <c r="F74" i="2"/>
  <c r="E74" i="2"/>
  <c r="D74" i="2"/>
  <c r="O73" i="2"/>
  <c r="N73" i="2"/>
  <c r="M73" i="2"/>
  <c r="L73" i="2"/>
  <c r="K73" i="2"/>
  <c r="I73" i="2" s="1"/>
  <c r="H73" i="2"/>
  <c r="E73" i="2"/>
  <c r="D73" i="2"/>
  <c r="O72" i="2"/>
  <c r="N72" i="2"/>
  <c r="M72" i="2"/>
  <c r="I72" i="2"/>
  <c r="H72" i="2"/>
  <c r="G72" i="2"/>
  <c r="F72" i="2"/>
  <c r="E72" i="2"/>
  <c r="D72" i="2"/>
  <c r="O71" i="2"/>
  <c r="N71" i="2"/>
  <c r="M71" i="2"/>
  <c r="L71" i="2"/>
  <c r="K71" i="2"/>
  <c r="I71" i="2"/>
  <c r="H71" i="2"/>
  <c r="G71" i="2"/>
  <c r="F71" i="2"/>
  <c r="E71" i="2"/>
  <c r="D71" i="2"/>
  <c r="O70" i="2"/>
  <c r="N70" i="2"/>
  <c r="M70" i="2"/>
  <c r="I70" i="2"/>
  <c r="H70" i="2"/>
  <c r="G70" i="2"/>
  <c r="F70" i="2"/>
  <c r="E70" i="2"/>
  <c r="D70" i="2"/>
  <c r="O69" i="2"/>
  <c r="N69" i="2"/>
  <c r="M69" i="2"/>
  <c r="L69" i="2"/>
  <c r="K69" i="2"/>
  <c r="I69" i="2"/>
  <c r="H69" i="2"/>
  <c r="G69" i="2"/>
  <c r="F69" i="2"/>
  <c r="E69" i="2"/>
  <c r="D69" i="2"/>
  <c r="O68" i="2"/>
  <c r="N68" i="2"/>
  <c r="M68" i="2"/>
  <c r="L68" i="2"/>
  <c r="K68" i="2"/>
  <c r="I68" i="2"/>
  <c r="H68" i="2"/>
  <c r="G68" i="2"/>
  <c r="F68" i="2"/>
  <c r="E68" i="2"/>
  <c r="D68" i="2"/>
  <c r="O67" i="2"/>
  <c r="N67" i="2"/>
  <c r="M67" i="2"/>
  <c r="I67" i="2"/>
  <c r="H67" i="2"/>
  <c r="G67" i="2"/>
  <c r="F67" i="2"/>
  <c r="E67" i="2"/>
  <c r="D67" i="2"/>
  <c r="O66" i="2"/>
  <c r="N66" i="2"/>
  <c r="M66" i="2"/>
  <c r="I66" i="2"/>
  <c r="H66" i="2"/>
  <c r="G66" i="2"/>
  <c r="F66" i="2"/>
  <c r="E66" i="2"/>
  <c r="D66" i="2"/>
  <c r="O65" i="2"/>
  <c r="N65" i="2"/>
  <c r="M65" i="2"/>
  <c r="I65" i="2"/>
  <c r="H65" i="2"/>
  <c r="G65" i="2"/>
  <c r="F65" i="2"/>
  <c r="E65" i="2"/>
  <c r="D65" i="2"/>
  <c r="O64" i="2"/>
  <c r="N64" i="2"/>
  <c r="M64" i="2"/>
  <c r="L64" i="2"/>
  <c r="K64" i="2"/>
  <c r="I64" i="2"/>
  <c r="H64" i="2"/>
  <c r="G64" i="2"/>
  <c r="F64" i="2"/>
  <c r="E64" i="2"/>
  <c r="D64" i="2"/>
  <c r="O63" i="2"/>
  <c r="N63" i="2"/>
  <c r="M63" i="2"/>
  <c r="L63" i="2"/>
  <c r="K63" i="2"/>
  <c r="I63" i="2" s="1"/>
  <c r="H63" i="2"/>
  <c r="G63" i="2"/>
  <c r="F63" i="2"/>
  <c r="D63" i="2"/>
  <c r="O62" i="2"/>
  <c r="N62" i="2"/>
  <c r="M62" i="2"/>
  <c r="L62" i="2"/>
  <c r="K62" i="2"/>
  <c r="I62" i="2"/>
  <c r="H62" i="2"/>
  <c r="G62" i="2"/>
  <c r="F62" i="2"/>
  <c r="E62" i="2"/>
  <c r="D62" i="2"/>
  <c r="O61" i="2"/>
  <c r="N61" i="2"/>
  <c r="M61" i="2"/>
  <c r="L61" i="2"/>
  <c r="K61" i="2"/>
  <c r="E61" i="2" s="1"/>
  <c r="I61" i="2"/>
  <c r="G61" i="2"/>
  <c r="F61" i="2"/>
  <c r="D61" i="2"/>
  <c r="O60" i="2"/>
  <c r="N60" i="2"/>
  <c r="M60" i="2"/>
  <c r="L60" i="2"/>
  <c r="K60" i="2"/>
  <c r="G60" i="2" s="1"/>
  <c r="I60" i="2"/>
  <c r="H60" i="2"/>
  <c r="E60" i="2"/>
  <c r="D60" i="2"/>
  <c r="O59" i="2"/>
  <c r="N59" i="2"/>
  <c r="M59" i="2"/>
  <c r="L59" i="2"/>
  <c r="K59" i="2"/>
  <c r="I59" i="2"/>
  <c r="H59" i="2"/>
  <c r="G59" i="2"/>
  <c r="F59" i="2"/>
  <c r="E59" i="2"/>
  <c r="D59" i="2"/>
  <c r="O58" i="2"/>
  <c r="N58" i="2"/>
  <c r="M58" i="2"/>
  <c r="L58" i="2"/>
  <c r="K58" i="2"/>
  <c r="I58" i="2" s="1"/>
  <c r="D58" i="2"/>
  <c r="O54" i="2"/>
  <c r="N54" i="2"/>
  <c r="M54" i="2"/>
  <c r="L54" i="2"/>
  <c r="K54" i="2"/>
  <c r="G54" i="2"/>
  <c r="F54" i="2"/>
  <c r="E54" i="2"/>
  <c r="D54" i="2"/>
  <c r="O53" i="2"/>
  <c r="N53" i="2"/>
  <c r="M53" i="2"/>
  <c r="I53" i="2"/>
  <c r="H53" i="2"/>
  <c r="G53" i="2"/>
  <c r="F53" i="2"/>
  <c r="E53" i="2"/>
  <c r="D53" i="2"/>
  <c r="O52" i="2"/>
  <c r="N52" i="2"/>
  <c r="M52" i="2"/>
  <c r="L52" i="2"/>
  <c r="K52" i="2"/>
  <c r="I52" i="2"/>
  <c r="H52" i="2"/>
  <c r="G52" i="2"/>
  <c r="F52" i="2"/>
  <c r="E52" i="2"/>
  <c r="D52" i="2"/>
  <c r="O51" i="2"/>
  <c r="N51" i="2"/>
  <c r="M51" i="2"/>
  <c r="L51" i="2"/>
  <c r="K51" i="2"/>
  <c r="I51" i="2"/>
  <c r="H51" i="2"/>
  <c r="G51" i="2"/>
  <c r="F51" i="2"/>
  <c r="E51" i="2"/>
  <c r="D51" i="2"/>
  <c r="O50" i="2"/>
  <c r="N50" i="2"/>
  <c r="M50" i="2"/>
  <c r="L50" i="2"/>
  <c r="K50" i="2"/>
  <c r="I50" i="2"/>
  <c r="H50" i="2"/>
  <c r="G50" i="2"/>
  <c r="F50" i="2"/>
  <c r="E50" i="2"/>
  <c r="D50" i="2"/>
  <c r="I49" i="2"/>
  <c r="H49" i="2"/>
  <c r="G49" i="2"/>
  <c r="F49" i="2"/>
  <c r="E49" i="2"/>
  <c r="D49" i="2"/>
  <c r="O48" i="2"/>
  <c r="N48" i="2"/>
  <c r="M48" i="2"/>
  <c r="L48" i="2"/>
  <c r="K48" i="2"/>
  <c r="I48" i="2"/>
  <c r="H48" i="2"/>
  <c r="G48" i="2"/>
  <c r="F48" i="2"/>
  <c r="E48" i="2"/>
  <c r="D48" i="2"/>
  <c r="O47" i="2"/>
  <c r="N47" i="2"/>
  <c r="M47" i="2"/>
  <c r="L47" i="2"/>
  <c r="K47" i="2"/>
  <c r="I47" i="2"/>
  <c r="H47" i="2"/>
  <c r="G47" i="2"/>
  <c r="F47" i="2"/>
  <c r="E47" i="2"/>
  <c r="D47" i="2"/>
  <c r="O46" i="2"/>
  <c r="N46" i="2"/>
  <c r="M46" i="2"/>
  <c r="L46" i="2"/>
  <c r="K46" i="2"/>
  <c r="I46" i="2"/>
  <c r="H46" i="2"/>
  <c r="G46" i="2"/>
  <c r="F46" i="2"/>
  <c r="E46" i="2"/>
  <c r="D46" i="2"/>
  <c r="O45" i="2"/>
  <c r="N45" i="2"/>
  <c r="M45" i="2"/>
  <c r="L45" i="2"/>
  <c r="K45" i="2"/>
  <c r="I45" i="2"/>
  <c r="H45" i="2"/>
  <c r="G45" i="2"/>
  <c r="F45" i="2"/>
  <c r="E45" i="2"/>
  <c r="D45" i="2"/>
  <c r="O44" i="2"/>
  <c r="N44" i="2"/>
  <c r="M44" i="2"/>
  <c r="I44" i="2"/>
  <c r="H44" i="2"/>
  <c r="G44" i="2"/>
  <c r="F44" i="2"/>
  <c r="E44" i="2"/>
  <c r="D44" i="2"/>
  <c r="O43" i="2"/>
  <c r="N43" i="2"/>
  <c r="M43" i="2"/>
  <c r="I43" i="2"/>
  <c r="H43" i="2"/>
  <c r="G43" i="2"/>
  <c r="F43" i="2"/>
  <c r="E43" i="2"/>
  <c r="D43" i="2"/>
  <c r="O42" i="2"/>
  <c r="N42" i="2"/>
  <c r="M42" i="2"/>
  <c r="I42" i="2"/>
  <c r="H42" i="2"/>
  <c r="G42" i="2"/>
  <c r="F42" i="2"/>
  <c r="E42" i="2"/>
  <c r="D42" i="2"/>
  <c r="O41" i="2"/>
  <c r="N41" i="2"/>
  <c r="M41" i="2"/>
  <c r="I41" i="2"/>
  <c r="H41" i="2"/>
  <c r="G41" i="2"/>
  <c r="F41" i="2"/>
  <c r="E41" i="2"/>
  <c r="D41" i="2"/>
  <c r="O40" i="2"/>
  <c r="N40" i="2"/>
  <c r="M40" i="2"/>
  <c r="L40" i="2"/>
  <c r="K40" i="2"/>
  <c r="I40" i="2"/>
  <c r="H40" i="2"/>
  <c r="G40" i="2"/>
  <c r="F40" i="2"/>
  <c r="E40" i="2"/>
  <c r="D40" i="2"/>
  <c r="O39" i="2"/>
  <c r="N39" i="2"/>
  <c r="M39" i="2"/>
  <c r="I39" i="2"/>
  <c r="H39" i="2"/>
  <c r="G39" i="2"/>
  <c r="F39" i="2"/>
  <c r="E39" i="2"/>
  <c r="D39" i="2"/>
  <c r="O38" i="2"/>
  <c r="N38" i="2"/>
  <c r="M38" i="2"/>
  <c r="I38" i="2"/>
  <c r="H38" i="2"/>
  <c r="G38" i="2"/>
  <c r="F38" i="2"/>
  <c r="E38" i="2"/>
  <c r="D38" i="2"/>
  <c r="O37" i="2"/>
  <c r="N37" i="2"/>
  <c r="M37" i="2"/>
  <c r="I37" i="2"/>
  <c r="H37" i="2"/>
  <c r="G37" i="2"/>
  <c r="F37" i="2"/>
  <c r="E37" i="2"/>
  <c r="D37" i="2"/>
  <c r="O36" i="2"/>
  <c r="N36" i="2"/>
  <c r="M36" i="2"/>
  <c r="I36" i="2"/>
  <c r="H36" i="2"/>
  <c r="G36" i="2"/>
  <c r="F36" i="2"/>
  <c r="E36" i="2"/>
  <c r="D36" i="2"/>
  <c r="O35" i="2"/>
  <c r="N35" i="2"/>
  <c r="M35" i="2"/>
  <c r="I35" i="2"/>
  <c r="H35" i="2"/>
  <c r="G35" i="2"/>
  <c r="F35" i="2"/>
  <c r="E35" i="2"/>
  <c r="D35" i="2"/>
  <c r="O34" i="2"/>
  <c r="N34" i="2"/>
  <c r="M34" i="2"/>
  <c r="I34" i="2"/>
  <c r="H34" i="2"/>
  <c r="G34" i="2"/>
  <c r="F34" i="2"/>
  <c r="E34" i="2"/>
  <c r="D34" i="2"/>
  <c r="O33" i="2"/>
  <c r="N33" i="2"/>
  <c r="M33" i="2"/>
  <c r="I33" i="2"/>
  <c r="H33" i="2"/>
  <c r="G33" i="2"/>
  <c r="F33" i="2"/>
  <c r="E33" i="2"/>
  <c r="D33" i="2"/>
  <c r="O32" i="2"/>
  <c r="N32" i="2"/>
  <c r="M32" i="2"/>
  <c r="I32" i="2"/>
  <c r="H32" i="2"/>
  <c r="G32" i="2"/>
  <c r="F32" i="2"/>
  <c r="E32" i="2"/>
  <c r="D32" i="2"/>
  <c r="O31" i="2"/>
  <c r="N31" i="2"/>
  <c r="M31" i="2"/>
  <c r="K31" i="2"/>
  <c r="E31" i="2" s="1"/>
  <c r="I31" i="2"/>
  <c r="H31" i="2"/>
  <c r="O30" i="2"/>
  <c r="N30" i="2"/>
  <c r="M30" i="2"/>
  <c r="K30" i="2"/>
  <c r="I30" i="2" s="1"/>
  <c r="D30" i="2"/>
  <c r="O29" i="2"/>
  <c r="N29" i="2"/>
  <c r="M29" i="2"/>
  <c r="L29" i="2"/>
  <c r="K29" i="2"/>
  <c r="I29" i="2"/>
  <c r="H29" i="2"/>
  <c r="G29" i="2"/>
  <c r="F29" i="2"/>
  <c r="E29" i="2"/>
  <c r="D29" i="2"/>
  <c r="O28" i="2"/>
  <c r="N28" i="2"/>
  <c r="M28" i="2"/>
  <c r="L28" i="2"/>
  <c r="K28" i="2"/>
  <c r="I28" i="2"/>
  <c r="H28" i="2"/>
  <c r="G28" i="2"/>
  <c r="F28" i="2"/>
  <c r="E28" i="2"/>
  <c r="D28" i="2"/>
  <c r="O27" i="2"/>
  <c r="N27" i="2"/>
  <c r="M27" i="2"/>
  <c r="L27" i="2"/>
  <c r="K27" i="2"/>
  <c r="I27" i="2"/>
  <c r="H27" i="2"/>
  <c r="G27" i="2"/>
  <c r="F27" i="2"/>
  <c r="E27" i="2"/>
  <c r="D27" i="2"/>
  <c r="O26" i="2"/>
  <c r="N26" i="2"/>
  <c r="M26" i="2"/>
  <c r="L26" i="2"/>
  <c r="K26" i="2"/>
  <c r="I26" i="2"/>
  <c r="H26" i="2"/>
  <c r="G26" i="2"/>
  <c r="F26" i="2"/>
  <c r="E26" i="2"/>
  <c r="D26" i="2"/>
  <c r="O25" i="2"/>
  <c r="N25" i="2"/>
  <c r="M25" i="2"/>
  <c r="I25" i="2"/>
  <c r="H25" i="2"/>
  <c r="G25" i="2"/>
  <c r="F25" i="2"/>
  <c r="E25" i="2"/>
  <c r="D25" i="2"/>
  <c r="O24" i="2"/>
  <c r="N24" i="2"/>
  <c r="M24" i="2"/>
  <c r="I24" i="2"/>
  <c r="H24" i="2"/>
  <c r="G24" i="2"/>
  <c r="F24" i="2"/>
  <c r="E24" i="2"/>
  <c r="D24" i="2"/>
  <c r="O23" i="2"/>
  <c r="N23" i="2"/>
  <c r="M23" i="2"/>
  <c r="I23" i="2"/>
  <c r="H23" i="2"/>
  <c r="G23" i="2"/>
  <c r="F23" i="2"/>
  <c r="E23" i="2"/>
  <c r="D23" i="2"/>
  <c r="O22" i="2"/>
  <c r="N22" i="2"/>
  <c r="M22" i="2"/>
  <c r="L22" i="2"/>
  <c r="K22" i="2"/>
  <c r="I22" i="2"/>
  <c r="H22" i="2"/>
  <c r="G22" i="2"/>
  <c r="F22" i="2"/>
  <c r="E22" i="2"/>
  <c r="D22" i="2"/>
  <c r="O21" i="2"/>
  <c r="N21" i="2"/>
  <c r="M21" i="2"/>
  <c r="I21" i="2"/>
  <c r="H21" i="2"/>
  <c r="G21" i="2"/>
  <c r="F21" i="2"/>
  <c r="E21" i="2"/>
  <c r="D21" i="2"/>
  <c r="O20" i="2"/>
  <c r="N20" i="2"/>
  <c r="I20" i="2"/>
  <c r="H20" i="2"/>
  <c r="G20" i="2"/>
  <c r="F20" i="2"/>
  <c r="E20" i="2"/>
  <c r="D20" i="2"/>
  <c r="O19" i="2"/>
  <c r="N19" i="2"/>
  <c r="M19" i="2"/>
  <c r="L19" i="2"/>
  <c r="K19" i="2"/>
  <c r="I19" i="2"/>
  <c r="H19" i="2"/>
  <c r="G19" i="2"/>
  <c r="F19" i="2"/>
  <c r="E19" i="2"/>
  <c r="D19" i="2"/>
  <c r="O18" i="2"/>
  <c r="N18" i="2"/>
  <c r="M18" i="2"/>
  <c r="K18" i="2"/>
  <c r="I18" i="2"/>
  <c r="H18" i="2"/>
  <c r="G18" i="2"/>
  <c r="F18" i="2"/>
  <c r="E18" i="2"/>
  <c r="D18" i="2"/>
  <c r="O17" i="2"/>
  <c r="N17" i="2"/>
  <c r="M17" i="2"/>
  <c r="L17" i="2"/>
  <c r="I17" i="2"/>
  <c r="H17" i="2"/>
  <c r="G17" i="2"/>
  <c r="F17" i="2"/>
  <c r="E17" i="2"/>
  <c r="D17" i="2"/>
  <c r="O16" i="2"/>
  <c r="N16" i="2"/>
  <c r="M16" i="2"/>
  <c r="L16" i="2"/>
  <c r="K16" i="2"/>
  <c r="I16" i="2"/>
  <c r="H16" i="2"/>
  <c r="G16" i="2"/>
  <c r="F16" i="2"/>
  <c r="E16" i="2"/>
  <c r="D16" i="2"/>
  <c r="O15" i="2"/>
  <c r="N15" i="2"/>
  <c r="M15" i="2"/>
  <c r="I15" i="2"/>
  <c r="H15" i="2"/>
  <c r="G15" i="2"/>
  <c r="F15" i="2"/>
  <c r="E15" i="2"/>
  <c r="D15" i="2"/>
  <c r="O14" i="2"/>
  <c r="N14" i="2"/>
  <c r="M14" i="2"/>
  <c r="I14" i="2"/>
  <c r="H14" i="2"/>
  <c r="G14" i="2"/>
  <c r="F14" i="2"/>
  <c r="E14" i="2"/>
  <c r="D14" i="2"/>
  <c r="O13" i="2"/>
  <c r="N13" i="2"/>
  <c r="M13" i="2"/>
  <c r="I13" i="2"/>
  <c r="H13" i="2"/>
  <c r="G13" i="2"/>
  <c r="F13" i="2"/>
  <c r="E13" i="2"/>
  <c r="D13" i="2"/>
  <c r="O12" i="2"/>
  <c r="N12" i="2"/>
  <c r="M12" i="2"/>
  <c r="L12" i="2"/>
  <c r="K12" i="2"/>
  <c r="I12" i="2"/>
  <c r="H12" i="2"/>
  <c r="G12" i="2"/>
  <c r="F12" i="2"/>
  <c r="E12" i="2"/>
  <c r="D12" i="2"/>
  <c r="O11" i="2"/>
  <c r="N11" i="2"/>
  <c r="M11" i="2"/>
  <c r="L11" i="2"/>
  <c r="K11" i="2"/>
  <c r="I11" i="2"/>
  <c r="H11" i="2"/>
  <c r="G11" i="2"/>
  <c r="F11" i="2"/>
  <c r="E11" i="2"/>
  <c r="D11" i="2"/>
  <c r="O10" i="2"/>
  <c r="N10" i="2"/>
  <c r="M10" i="2"/>
  <c r="L10" i="2"/>
  <c r="K10" i="2"/>
  <c r="I10" i="2"/>
  <c r="H10" i="2"/>
  <c r="G10" i="2"/>
  <c r="F10" i="2"/>
  <c r="E10" i="2"/>
  <c r="D10" i="2"/>
  <c r="O9" i="2"/>
  <c r="N9" i="2"/>
  <c r="M9" i="2"/>
  <c r="I9" i="2"/>
  <c r="H9" i="2"/>
  <c r="G9" i="2"/>
  <c r="F9" i="2"/>
  <c r="E9" i="2"/>
  <c r="D9" i="2"/>
  <c r="O8" i="2"/>
  <c r="N8" i="2"/>
  <c r="M8" i="2"/>
  <c r="L8" i="2"/>
  <c r="K8" i="2"/>
  <c r="I8" i="2"/>
  <c r="H8" i="2"/>
  <c r="G8" i="2"/>
  <c r="F8" i="2"/>
  <c r="E8" i="2"/>
  <c r="D8" i="2"/>
  <c r="O7" i="2"/>
  <c r="N7" i="2"/>
  <c r="M7" i="2"/>
  <c r="I7" i="2"/>
  <c r="H7" i="2"/>
  <c r="G7" i="2"/>
  <c r="F7" i="2"/>
  <c r="E7" i="2"/>
  <c r="D7" i="2"/>
  <c r="O31" i="1"/>
  <c r="N31" i="1"/>
  <c r="M31" i="1"/>
  <c r="K31" i="1"/>
  <c r="D31" i="1" s="1"/>
  <c r="H31" i="1"/>
  <c r="D226" i="2" l="1"/>
  <c r="D235" i="2"/>
  <c r="F308" i="2"/>
  <c r="E308" i="2"/>
  <c r="D108" i="2"/>
  <c r="F31" i="1"/>
  <c r="E108" i="2"/>
  <c r="H147" i="2"/>
  <c r="D225" i="2"/>
  <c r="G226" i="2"/>
  <c r="E235" i="2"/>
  <c r="H236" i="2"/>
  <c r="G308" i="2"/>
  <c r="D211" i="2"/>
  <c r="E225" i="2"/>
  <c r="H226" i="2"/>
  <c r="F235" i="2"/>
  <c r="I236" i="2"/>
  <c r="D297" i="2"/>
  <c r="H308" i="2"/>
  <c r="D31" i="2"/>
  <c r="F108" i="2"/>
  <c r="F31" i="2"/>
  <c r="E63" i="2"/>
  <c r="E83" i="2"/>
  <c r="I226" i="2"/>
  <c r="D291" i="2"/>
  <c r="E297" i="2"/>
  <c r="I308" i="2"/>
  <c r="H291" i="2"/>
  <c r="D306" i="2"/>
  <c r="I255" i="2"/>
  <c r="F306" i="2"/>
  <c r="D254" i="2"/>
  <c r="G306" i="2"/>
  <c r="F60" i="2"/>
  <c r="E113" i="2"/>
  <c r="E132" i="2"/>
  <c r="D147" i="2"/>
  <c r="F148" i="2"/>
  <c r="E178" i="2"/>
  <c r="E254" i="2"/>
  <c r="H306" i="2"/>
  <c r="F132" i="2"/>
  <c r="G148" i="2"/>
  <c r="F178" i="2"/>
  <c r="H254" i="2"/>
  <c r="E30" i="2"/>
  <c r="G31" i="2"/>
  <c r="E58" i="2"/>
  <c r="H61" i="2"/>
  <c r="F73" i="2"/>
  <c r="F83" i="2"/>
  <c r="F85" i="2"/>
  <c r="E107" i="2"/>
  <c r="E133" i="2"/>
  <c r="E138" i="2"/>
  <c r="G144" i="2"/>
  <c r="E211" i="2"/>
  <c r="E231" i="2"/>
  <c r="I254" i="2"/>
  <c r="I291" i="2"/>
  <c r="E307" i="2"/>
  <c r="F30" i="2"/>
  <c r="F58" i="2"/>
  <c r="G73" i="2"/>
  <c r="G83" i="2"/>
  <c r="D84" i="2"/>
  <c r="G85" i="2"/>
  <c r="F107" i="2"/>
  <c r="F133" i="2"/>
  <c r="F138" i="2"/>
  <c r="F211" i="2"/>
  <c r="F231" i="2"/>
  <c r="F307" i="2"/>
  <c r="D138" i="2"/>
  <c r="G30" i="2"/>
  <c r="G58" i="2"/>
  <c r="E84" i="2"/>
  <c r="G107" i="2"/>
  <c r="G133" i="2"/>
  <c r="G138" i="2"/>
  <c r="H178" i="2"/>
  <c r="F210" i="2"/>
  <c r="G211" i="2"/>
  <c r="G231" i="2"/>
  <c r="G307" i="2"/>
  <c r="H30" i="2"/>
  <c r="H58" i="2"/>
  <c r="F84" i="2"/>
  <c r="H107" i="2"/>
  <c r="H133" i="2"/>
  <c r="H138" i="2"/>
  <c r="D144" i="2"/>
  <c r="D186" i="2"/>
  <c r="G210" i="2"/>
  <c r="H211" i="2"/>
  <c r="E226" i="2"/>
  <c r="H231" i="2"/>
  <c r="E236" i="2"/>
  <c r="F254" i="2"/>
  <c r="G255" i="2"/>
  <c r="F291" i="2"/>
  <c r="H307" i="2"/>
  <c r="G31" i="1"/>
  <c r="I31" i="1"/>
  <c r="E31" i="1"/>
  <c r="O30" i="1" l="1"/>
  <c r="N30" i="1"/>
  <c r="N32" i="1"/>
  <c r="M30" i="1"/>
  <c r="K30" i="1"/>
  <c r="G30" i="1" s="1"/>
  <c r="I30" i="1"/>
  <c r="H30" i="1"/>
  <c r="F30" i="1"/>
  <c r="D30" i="1" l="1"/>
  <c r="E30" i="1"/>
  <c r="L283" i="1"/>
  <c r="L282" i="1"/>
  <c r="O8" i="1"/>
  <c r="N8" i="1"/>
  <c r="M8" i="1"/>
  <c r="L8" i="1"/>
  <c r="K8" i="1"/>
  <c r="F8" i="1" s="1"/>
  <c r="I8" i="1" l="1"/>
  <c r="D8" i="1"/>
  <c r="E8" i="1"/>
  <c r="G8" i="1"/>
  <c r="H8" i="1"/>
  <c r="O7" i="1" l="1"/>
  <c r="N7" i="1"/>
  <c r="M7" i="1"/>
  <c r="I7" i="1"/>
  <c r="H7" i="1"/>
  <c r="G7" i="1"/>
  <c r="F7" i="1"/>
  <c r="E7" i="1"/>
  <c r="D7" i="1"/>
  <c r="O291" i="1"/>
  <c r="N291" i="1"/>
  <c r="M291" i="1"/>
  <c r="L291" i="1"/>
  <c r="K291" i="1"/>
  <c r="O255" i="1"/>
  <c r="N255" i="1"/>
  <c r="M255" i="1"/>
  <c r="L255" i="1"/>
  <c r="K255" i="1"/>
  <c r="D255" i="1" s="1"/>
  <c r="O254" i="1"/>
  <c r="N254" i="1"/>
  <c r="M254" i="1"/>
  <c r="L254" i="1"/>
  <c r="K254" i="1"/>
  <c r="G254" i="1" s="1"/>
  <c r="D254" i="1" l="1"/>
  <c r="E254" i="1"/>
  <c r="H254" i="1"/>
  <c r="I255" i="1"/>
  <c r="E255" i="1"/>
  <c r="F255" i="1"/>
  <c r="G255" i="1"/>
  <c r="H255" i="1"/>
  <c r="I254" i="1"/>
  <c r="F254" i="1"/>
  <c r="D291" i="1" l="1"/>
  <c r="I291" i="1"/>
  <c r="E291" i="1"/>
  <c r="O308" i="1"/>
  <c r="N308" i="1"/>
  <c r="M308" i="1"/>
  <c r="L308" i="1"/>
  <c r="K308" i="1"/>
  <c r="O307" i="1"/>
  <c r="N307" i="1"/>
  <c r="M307" i="1"/>
  <c r="L307" i="1"/>
  <c r="O306" i="1"/>
  <c r="N306" i="1"/>
  <c r="M306" i="1"/>
  <c r="L306" i="1"/>
  <c r="O253" i="1"/>
  <c r="N253" i="1"/>
  <c r="M253" i="1"/>
  <c r="L253" i="1"/>
  <c r="K253" i="1"/>
  <c r="H291" i="1" l="1"/>
  <c r="F291" i="1"/>
  <c r="G291" i="1"/>
  <c r="O231" i="1" l="1"/>
  <c r="N231" i="1"/>
  <c r="M231" i="1"/>
  <c r="L231" i="1"/>
  <c r="K231" i="1"/>
  <c r="O226" i="1"/>
  <c r="N226" i="1"/>
  <c r="M226" i="1"/>
  <c r="L226" i="1"/>
  <c r="K226" i="1"/>
  <c r="O225" i="1"/>
  <c r="N225" i="1"/>
  <c r="M225" i="1"/>
  <c r="L225" i="1"/>
  <c r="K225" i="1"/>
  <c r="O252" i="1" l="1"/>
  <c r="N252" i="1"/>
  <c r="M252" i="1"/>
  <c r="L252" i="1"/>
  <c r="K252" i="1"/>
  <c r="O133" i="1" l="1"/>
  <c r="N133" i="1"/>
  <c r="M133" i="1"/>
  <c r="L133" i="1"/>
  <c r="K133" i="1"/>
  <c r="G133" i="1" s="1"/>
  <c r="I133" i="1"/>
  <c r="O132" i="1"/>
  <c r="N132" i="1"/>
  <c r="M132" i="1"/>
  <c r="L132" i="1"/>
  <c r="K132" i="1"/>
  <c r="F132" i="1" s="1"/>
  <c r="I132" i="1"/>
  <c r="O236" i="1"/>
  <c r="N236" i="1"/>
  <c r="M236" i="1"/>
  <c r="L236" i="1"/>
  <c r="K236" i="1"/>
  <c r="H236" i="1" s="1"/>
  <c r="D132" i="1" l="1"/>
  <c r="G132" i="1"/>
  <c r="H132" i="1"/>
  <c r="D133" i="1"/>
  <c r="H133" i="1"/>
  <c r="E133" i="1"/>
  <c r="F133" i="1"/>
  <c r="E132" i="1"/>
  <c r="I236" i="1"/>
  <c r="D236" i="1"/>
  <c r="E236" i="1"/>
  <c r="F236" i="1"/>
  <c r="G236" i="1"/>
  <c r="O186" i="1"/>
  <c r="N186" i="1"/>
  <c r="M186" i="1"/>
  <c r="L186" i="1"/>
  <c r="K186" i="1"/>
  <c r="E186" i="1" s="1"/>
  <c r="O144" i="1"/>
  <c r="N144" i="1"/>
  <c r="M144" i="1"/>
  <c r="L144" i="1"/>
  <c r="K144" i="1"/>
  <c r="E144" i="1" s="1"/>
  <c r="O63" i="1"/>
  <c r="N63" i="1"/>
  <c r="M63" i="1"/>
  <c r="L63" i="1"/>
  <c r="K63" i="1"/>
  <c r="O298" i="1"/>
  <c r="N298" i="1"/>
  <c r="M298" i="1"/>
  <c r="L298" i="1"/>
  <c r="K298" i="1"/>
  <c r="F298" i="1" s="1"/>
  <c r="O297" i="1"/>
  <c r="N297" i="1"/>
  <c r="M297" i="1"/>
  <c r="L297" i="1"/>
  <c r="K297" i="1"/>
  <c r="G297" i="1" s="1"/>
  <c r="O148" i="1"/>
  <c r="N148" i="1"/>
  <c r="M148" i="1"/>
  <c r="L148" i="1"/>
  <c r="K148" i="1"/>
  <c r="G148" i="1" s="1"/>
  <c r="D144" i="1" l="1"/>
  <c r="D298" i="1"/>
  <c r="F186" i="1"/>
  <c r="G298" i="1"/>
  <c r="G186" i="1"/>
  <c r="F144" i="1"/>
  <c r="G144" i="1"/>
  <c r="D186" i="1"/>
  <c r="E297" i="1"/>
  <c r="I148" i="1"/>
  <c r="D148" i="1"/>
  <c r="H297" i="1"/>
  <c r="H148" i="1"/>
  <c r="H298" i="1"/>
  <c r="I298" i="1"/>
  <c r="I297" i="1"/>
  <c r="E298" i="1"/>
  <c r="E148" i="1"/>
  <c r="F148" i="1"/>
  <c r="D297" i="1"/>
  <c r="F297" i="1"/>
  <c r="E226" i="1"/>
  <c r="I225" i="1"/>
  <c r="I226" i="1"/>
  <c r="O147" i="1"/>
  <c r="N147" i="1"/>
  <c r="M147" i="1"/>
  <c r="L147" i="1"/>
  <c r="K147" i="1"/>
  <c r="E147" i="1" s="1"/>
  <c r="D147" i="1" l="1"/>
  <c r="G226" i="1"/>
  <c r="D225" i="1"/>
  <c r="F226" i="1"/>
  <c r="E225" i="1"/>
  <c r="F225" i="1"/>
  <c r="G225" i="1"/>
  <c r="H225" i="1"/>
  <c r="H226" i="1"/>
  <c r="D226" i="1"/>
  <c r="F147" i="1"/>
  <c r="G147" i="1"/>
  <c r="H147" i="1"/>
  <c r="I147" i="1"/>
  <c r="O113" i="1" l="1"/>
  <c r="N113" i="1"/>
  <c r="M113" i="1"/>
  <c r="K113" i="1"/>
  <c r="G113" i="1" s="1"/>
  <c r="D113" i="1" l="1"/>
  <c r="E113" i="1"/>
  <c r="F113" i="1"/>
  <c r="O311" i="1"/>
  <c r="N311" i="1"/>
  <c r="M311" i="1"/>
  <c r="L311" i="1"/>
  <c r="K311" i="1"/>
  <c r="F311" i="1" s="1"/>
  <c r="O138" i="1"/>
  <c r="N138" i="1"/>
  <c r="M138" i="1"/>
  <c r="L138" i="1"/>
  <c r="K138" i="1"/>
  <c r="G138" i="1" s="1"/>
  <c r="K178" i="1"/>
  <c r="G178" i="1" s="1"/>
  <c r="L178" i="1"/>
  <c r="M178" i="1"/>
  <c r="N178" i="1"/>
  <c r="O178" i="1"/>
  <c r="G311" i="1" l="1"/>
  <c r="H311" i="1"/>
  <c r="D138" i="1"/>
  <c r="I138" i="1"/>
  <c r="I311" i="1"/>
  <c r="D311" i="1"/>
  <c r="E311" i="1"/>
  <c r="H138" i="1"/>
  <c r="E138" i="1"/>
  <c r="F138" i="1"/>
  <c r="F178" i="1"/>
  <c r="E178" i="1"/>
  <c r="D178" i="1"/>
  <c r="I178" i="1"/>
  <c r="H178" i="1"/>
  <c r="L50" i="1"/>
  <c r="O108" i="1" l="1"/>
  <c r="N109" i="1"/>
  <c r="N108" i="1"/>
  <c r="M108" i="1"/>
  <c r="L108" i="1"/>
  <c r="K108" i="1"/>
  <c r="G108" i="1" s="1"/>
  <c r="O107" i="1"/>
  <c r="N107" i="1"/>
  <c r="M107" i="1"/>
  <c r="L107" i="1"/>
  <c r="K107" i="1"/>
  <c r="H107" i="1" s="1"/>
  <c r="O85" i="1"/>
  <c r="N85" i="1"/>
  <c r="M85" i="1"/>
  <c r="L85" i="1"/>
  <c r="K85" i="1"/>
  <c r="F85" i="1" s="1"/>
  <c r="N84" i="1"/>
  <c r="O84" i="1"/>
  <c r="M84" i="1"/>
  <c r="L84" i="1"/>
  <c r="K84" i="1"/>
  <c r="D84" i="1" s="1"/>
  <c r="F108" i="1" l="1"/>
  <c r="G85" i="1"/>
  <c r="D107" i="1"/>
  <c r="I107" i="1"/>
  <c r="H108" i="1"/>
  <c r="E107" i="1"/>
  <c r="F107" i="1"/>
  <c r="G107" i="1"/>
  <c r="D108" i="1"/>
  <c r="I108" i="1"/>
  <c r="E108" i="1"/>
  <c r="E85" i="1"/>
  <c r="E84" i="1"/>
  <c r="F84" i="1"/>
  <c r="G84" i="1"/>
  <c r="D85" i="1"/>
  <c r="O60" i="1" l="1"/>
  <c r="N60" i="1"/>
  <c r="M60" i="1"/>
  <c r="L60" i="1"/>
  <c r="K60" i="1"/>
  <c r="D60" i="1" s="1"/>
  <c r="O61" i="1"/>
  <c r="N61" i="1"/>
  <c r="M61" i="1"/>
  <c r="L61" i="1"/>
  <c r="K61" i="1"/>
  <c r="F61" i="1" s="1"/>
  <c r="I61" i="1"/>
  <c r="O68" i="1"/>
  <c r="N68" i="1"/>
  <c r="M68" i="1"/>
  <c r="L68" i="1"/>
  <c r="K68" i="1"/>
  <c r="H61" i="1" l="1"/>
  <c r="F60" i="1"/>
  <c r="G61" i="1"/>
  <c r="E60" i="1"/>
  <c r="H60" i="1"/>
  <c r="G60" i="1"/>
  <c r="I60" i="1"/>
  <c r="D61" i="1"/>
  <c r="E61" i="1"/>
  <c r="O73" i="1" l="1"/>
  <c r="N73" i="1"/>
  <c r="M73" i="1"/>
  <c r="L73" i="1"/>
  <c r="K73" i="1"/>
  <c r="O83" i="1"/>
  <c r="N83" i="1"/>
  <c r="M83" i="1"/>
  <c r="L83" i="1"/>
  <c r="K83" i="1"/>
  <c r="G83" i="1" s="1"/>
  <c r="G231" i="1"/>
  <c r="O64" i="1"/>
  <c r="N64" i="1"/>
  <c r="M64" i="1"/>
  <c r="L64" i="1"/>
  <c r="K64" i="1"/>
  <c r="H64" i="1" s="1"/>
  <c r="F83" i="1" l="1"/>
  <c r="I231" i="1"/>
  <c r="E83" i="1"/>
  <c r="D231" i="1"/>
  <c r="E231" i="1"/>
  <c r="F231" i="1"/>
  <c r="D83" i="1"/>
  <c r="H231" i="1"/>
  <c r="I64" i="1"/>
  <c r="E64" i="1"/>
  <c r="F64" i="1"/>
  <c r="D64" i="1"/>
  <c r="G64" i="1"/>
  <c r="O175" i="1" l="1"/>
  <c r="N175" i="1"/>
  <c r="M175" i="1"/>
  <c r="L175" i="1"/>
  <c r="K175" i="1"/>
  <c r="O52" i="1"/>
  <c r="O136" i="1" l="1"/>
  <c r="N136" i="1"/>
  <c r="M136" i="1"/>
  <c r="K136" i="1"/>
  <c r="I136" i="1" l="1"/>
  <c r="H136" i="1"/>
  <c r="G136" i="1"/>
  <c r="F136" i="1"/>
  <c r="E136" i="1"/>
  <c r="D136" i="1"/>
  <c r="O194" i="1"/>
  <c r="N194" i="1"/>
  <c r="M194" i="1"/>
  <c r="I194" i="1"/>
  <c r="H194" i="1"/>
  <c r="G194" i="1"/>
  <c r="F194" i="1"/>
  <c r="E194" i="1"/>
  <c r="D194" i="1"/>
  <c r="O17" i="1" l="1"/>
  <c r="N17" i="1"/>
  <c r="M17" i="1"/>
  <c r="L17" i="1"/>
  <c r="I17" i="1"/>
  <c r="H17" i="1"/>
  <c r="G17" i="1"/>
  <c r="F17" i="1"/>
  <c r="E17" i="1"/>
  <c r="D17" i="1"/>
  <c r="O230" i="1"/>
  <c r="N230" i="1"/>
  <c r="M230" i="1"/>
  <c r="L230" i="1"/>
  <c r="K230" i="1"/>
  <c r="G230" i="1" s="1"/>
  <c r="O274" i="1"/>
  <c r="N274" i="1"/>
  <c r="M274" i="1"/>
  <c r="I274" i="1"/>
  <c r="H274" i="1"/>
  <c r="G274" i="1"/>
  <c r="F274" i="1"/>
  <c r="E274" i="1"/>
  <c r="D274" i="1"/>
  <c r="O145" i="1"/>
  <c r="N145" i="1"/>
  <c r="M145" i="1"/>
  <c r="L145" i="1"/>
  <c r="K145" i="1"/>
  <c r="G145" i="1" s="1"/>
  <c r="E230" i="1" l="1"/>
  <c r="H230" i="1"/>
  <c r="D145" i="1"/>
  <c r="F145" i="1"/>
  <c r="H145" i="1"/>
  <c r="I145" i="1"/>
  <c r="I230" i="1"/>
  <c r="D230" i="1"/>
  <c r="F230" i="1"/>
  <c r="E145" i="1"/>
  <c r="O185" i="1" l="1"/>
  <c r="N185" i="1"/>
  <c r="M185" i="1"/>
  <c r="L185" i="1"/>
  <c r="K185" i="1"/>
  <c r="D185" i="1" s="1"/>
  <c r="G185" i="1"/>
  <c r="O146" i="1"/>
  <c r="N146" i="1"/>
  <c r="M146" i="1"/>
  <c r="L146" i="1"/>
  <c r="K146" i="1"/>
  <c r="H146" i="1" s="1"/>
  <c r="O267" i="1"/>
  <c r="N267" i="1"/>
  <c r="M267" i="1"/>
  <c r="L267" i="1"/>
  <c r="K267" i="1"/>
  <c r="K28" i="1"/>
  <c r="D146" i="1" l="1"/>
  <c r="E185" i="1"/>
  <c r="F185" i="1"/>
  <c r="I146" i="1"/>
  <c r="E146" i="1"/>
  <c r="F146" i="1"/>
  <c r="G146" i="1"/>
  <c r="K50" i="1"/>
  <c r="O16" i="1"/>
  <c r="N16" i="1"/>
  <c r="M16" i="1"/>
  <c r="L16" i="1"/>
  <c r="K16" i="1"/>
  <c r="O46" i="1"/>
  <c r="N46" i="1"/>
  <c r="M46" i="1"/>
  <c r="L46" i="1"/>
  <c r="K46" i="1"/>
  <c r="G46" i="1" s="1"/>
  <c r="O27" i="1"/>
  <c r="N27" i="1"/>
  <c r="M27" i="1"/>
  <c r="L27" i="1"/>
  <c r="K27" i="1"/>
  <c r="H27" i="1" s="1"/>
  <c r="I27" i="1"/>
  <c r="D27" i="1" l="1"/>
  <c r="G27" i="1"/>
  <c r="H46" i="1"/>
  <c r="I46" i="1"/>
  <c r="E46" i="1"/>
  <c r="D46" i="1"/>
  <c r="F46" i="1"/>
  <c r="E27" i="1"/>
  <c r="F27" i="1"/>
  <c r="O28" i="1" l="1"/>
  <c r="N28" i="1"/>
  <c r="M28" i="1"/>
  <c r="L28" i="1"/>
  <c r="O40" i="1"/>
  <c r="L40" i="1"/>
  <c r="N40" i="1"/>
  <c r="M40" i="1"/>
  <c r="K40" i="1"/>
  <c r="N52" i="1"/>
  <c r="M52" i="1"/>
  <c r="L52" i="1"/>
  <c r="K52" i="1"/>
  <c r="O51" i="1"/>
  <c r="N51" i="1"/>
  <c r="M51" i="1"/>
  <c r="L51" i="1"/>
  <c r="K51" i="1"/>
  <c r="O50" i="1"/>
  <c r="N50" i="1"/>
  <c r="M50" i="1"/>
  <c r="O48" i="1"/>
  <c r="N48" i="1"/>
  <c r="M48" i="1"/>
  <c r="L48" i="1"/>
  <c r="K48" i="1"/>
  <c r="G253" i="1" l="1"/>
  <c r="D253" i="1" l="1"/>
  <c r="I253" i="1"/>
  <c r="E253" i="1"/>
  <c r="H253" i="1"/>
  <c r="F253" i="1"/>
  <c r="F252" i="1" l="1"/>
  <c r="G252" i="1"/>
  <c r="H252" i="1" l="1"/>
  <c r="I252" i="1"/>
  <c r="D252" i="1"/>
  <c r="E252" i="1"/>
  <c r="O66" i="1"/>
  <c r="N66" i="1"/>
  <c r="M66" i="1"/>
  <c r="I66" i="1"/>
  <c r="H66" i="1"/>
  <c r="G66" i="1"/>
  <c r="F66" i="1"/>
  <c r="E66" i="1"/>
  <c r="D66" i="1"/>
  <c r="O112" i="1"/>
  <c r="N112" i="1"/>
  <c r="M112" i="1"/>
  <c r="G112" i="1"/>
  <c r="F112" i="1"/>
  <c r="E112" i="1"/>
  <c r="D112" i="1"/>
  <c r="O305" i="1"/>
  <c r="N305" i="1"/>
  <c r="M305" i="1"/>
  <c r="O139" i="1"/>
  <c r="N139" i="1"/>
  <c r="M137" i="1"/>
  <c r="M139" i="1"/>
  <c r="L139" i="1"/>
  <c r="K139" i="1"/>
  <c r="E139" i="1" s="1"/>
  <c r="N134" i="1"/>
  <c r="N135" i="1"/>
  <c r="O135" i="1"/>
  <c r="M135" i="1"/>
  <c r="L135" i="1"/>
  <c r="K135" i="1"/>
  <c r="G135" i="1" s="1"/>
  <c r="H139" i="1" l="1"/>
  <c r="I139" i="1"/>
  <c r="D139" i="1"/>
  <c r="G139" i="1"/>
  <c r="F139" i="1"/>
  <c r="H135" i="1"/>
  <c r="D135" i="1"/>
  <c r="I135" i="1"/>
  <c r="E135" i="1"/>
  <c r="F135" i="1"/>
  <c r="O224" i="1"/>
  <c r="N224" i="1"/>
  <c r="M224" i="1"/>
  <c r="I224" i="1"/>
  <c r="H224" i="1"/>
  <c r="G224" i="1"/>
  <c r="F224" i="1"/>
  <c r="E224" i="1"/>
  <c r="D224" i="1"/>
  <c r="O223" i="1"/>
  <c r="N223" i="1"/>
  <c r="M223" i="1"/>
  <c r="G223" i="1"/>
  <c r="E223" i="1"/>
  <c r="D223" i="1"/>
  <c r="O163" i="1"/>
  <c r="N163" i="1"/>
  <c r="M163" i="1"/>
  <c r="O162" i="1"/>
  <c r="N162" i="1"/>
  <c r="M162" i="1"/>
  <c r="H162" i="1"/>
  <c r="I163" i="1"/>
  <c r="H163" i="1"/>
  <c r="G163" i="1"/>
  <c r="F163" i="1"/>
  <c r="E163" i="1"/>
  <c r="D163" i="1"/>
  <c r="I162" i="1"/>
  <c r="G162" i="1"/>
  <c r="F162" i="1"/>
  <c r="E162" i="1"/>
  <c r="D162" i="1"/>
  <c r="E308" i="1"/>
  <c r="K307" i="1"/>
  <c r="D307" i="1" s="1"/>
  <c r="K306" i="1"/>
  <c r="F306" i="1" s="1"/>
  <c r="O105" i="1"/>
  <c r="N105" i="1"/>
  <c r="M105" i="1"/>
  <c r="L105" i="1"/>
  <c r="K105" i="1"/>
  <c r="O106" i="1"/>
  <c r="N106" i="1"/>
  <c r="M106" i="1"/>
  <c r="L106" i="1"/>
  <c r="K106" i="1"/>
  <c r="G106" i="1" s="1"/>
  <c r="O131" i="1"/>
  <c r="H223" i="1" l="1"/>
  <c r="I223" i="1"/>
  <c r="F223" i="1"/>
  <c r="E306" i="1"/>
  <c r="I106" i="1"/>
  <c r="G306" i="1"/>
  <c r="I307" i="1"/>
  <c r="D308" i="1"/>
  <c r="H306" i="1"/>
  <c r="H308" i="1"/>
  <c r="H106" i="1"/>
  <c r="F308" i="1"/>
  <c r="G308" i="1"/>
  <c r="I308" i="1"/>
  <c r="H307" i="1"/>
  <c r="E307" i="1"/>
  <c r="F307" i="1"/>
  <c r="G307" i="1"/>
  <c r="I306" i="1"/>
  <c r="D306" i="1"/>
  <c r="E106" i="1"/>
  <c r="F106" i="1"/>
  <c r="D106" i="1"/>
  <c r="N131" i="1" l="1"/>
  <c r="M131" i="1"/>
  <c r="I52" i="1"/>
  <c r="D51" i="1"/>
  <c r="H52" i="1"/>
  <c r="O26" i="1"/>
  <c r="N26" i="1"/>
  <c r="O19" i="1"/>
  <c r="N19" i="1"/>
  <c r="M19" i="1"/>
  <c r="L19" i="1"/>
  <c r="K19" i="1"/>
  <c r="O18" i="1"/>
  <c r="N18" i="1"/>
  <c r="M18" i="1"/>
  <c r="K18" i="1"/>
  <c r="O11" i="1"/>
  <c r="N11" i="1"/>
  <c r="M11" i="1"/>
  <c r="L11" i="1"/>
  <c r="K11" i="1"/>
  <c r="O10" i="1"/>
  <c r="N10" i="1"/>
  <c r="M10" i="1"/>
  <c r="L10" i="1"/>
  <c r="K10" i="1"/>
  <c r="O47" i="1"/>
  <c r="N47" i="1"/>
  <c r="M47" i="1"/>
  <c r="L47" i="1"/>
  <c r="K47" i="1"/>
  <c r="O45" i="1"/>
  <c r="N45" i="1"/>
  <c r="M45" i="1"/>
  <c r="L45" i="1"/>
  <c r="K45" i="1"/>
  <c r="O29" i="1"/>
  <c r="N29" i="1"/>
  <c r="M29" i="1"/>
  <c r="L29" i="1"/>
  <c r="K29" i="1"/>
  <c r="F51" i="1" l="1"/>
  <c r="E51" i="1"/>
  <c r="H51" i="1"/>
  <c r="I51" i="1"/>
  <c r="D52" i="1"/>
  <c r="G51" i="1"/>
  <c r="E52" i="1"/>
  <c r="F52" i="1"/>
  <c r="G52" i="1"/>
  <c r="D216" i="1" l="1"/>
  <c r="H9" i="1"/>
  <c r="I310" i="1"/>
  <c r="I312" i="1"/>
  <c r="I293" i="1"/>
  <c r="I295" i="1"/>
  <c r="I299" i="1"/>
  <c r="I300" i="1"/>
  <c r="I301" i="1"/>
  <c r="I302" i="1"/>
  <c r="I303" i="1"/>
  <c r="I305" i="1"/>
  <c r="I309" i="1"/>
  <c r="I285" i="1"/>
  <c r="I286" i="1"/>
  <c r="I287" i="1"/>
  <c r="I290" i="1"/>
  <c r="I284" i="1"/>
  <c r="I271" i="1"/>
  <c r="I273" i="1"/>
  <c r="I257" i="1"/>
  <c r="I260" i="1"/>
  <c r="I261" i="1"/>
  <c r="I262" i="1"/>
  <c r="I263" i="1"/>
  <c r="I264" i="1"/>
  <c r="I265" i="1"/>
  <c r="I267" i="1"/>
  <c r="I268" i="1"/>
  <c r="I269" i="1"/>
  <c r="I270" i="1"/>
  <c r="I237" i="1"/>
  <c r="I239" i="1"/>
  <c r="I240" i="1"/>
  <c r="I241" i="1"/>
  <c r="I243" i="1"/>
  <c r="I246" i="1"/>
  <c r="I247" i="1"/>
  <c r="I248" i="1"/>
  <c r="I249" i="1"/>
  <c r="I250" i="1"/>
  <c r="I251" i="1"/>
  <c r="I256" i="1"/>
  <c r="I218" i="1"/>
  <c r="I219" i="1"/>
  <c r="I227" i="1"/>
  <c r="I228" i="1"/>
  <c r="I233" i="1"/>
  <c r="I234" i="1"/>
  <c r="H303" i="1"/>
  <c r="H305" i="1"/>
  <c r="H309" i="1"/>
  <c r="H310" i="1"/>
  <c r="H312" i="1"/>
  <c r="H293" i="1"/>
  <c r="H295" i="1"/>
  <c r="H299" i="1"/>
  <c r="H300" i="1"/>
  <c r="H301" i="1"/>
  <c r="H302" i="1"/>
  <c r="H285" i="1"/>
  <c r="H286" i="1"/>
  <c r="H287" i="1"/>
  <c r="H290" i="1"/>
  <c r="H284" i="1"/>
  <c r="H273" i="1"/>
  <c r="H257" i="1"/>
  <c r="H260" i="1"/>
  <c r="H261" i="1"/>
  <c r="H262" i="1"/>
  <c r="H263" i="1"/>
  <c r="H264" i="1"/>
  <c r="H265" i="1"/>
  <c r="H267" i="1"/>
  <c r="H268" i="1"/>
  <c r="H269" i="1"/>
  <c r="H270" i="1"/>
  <c r="H271" i="1"/>
  <c r="H239" i="1"/>
  <c r="H240" i="1"/>
  <c r="H241" i="1"/>
  <c r="H243" i="1"/>
  <c r="H246" i="1"/>
  <c r="H247" i="1"/>
  <c r="H248" i="1"/>
  <c r="H249" i="1"/>
  <c r="H250" i="1"/>
  <c r="H251" i="1"/>
  <c r="H256" i="1"/>
  <c r="H218" i="1"/>
  <c r="H219" i="1"/>
  <c r="H227" i="1"/>
  <c r="H228" i="1"/>
  <c r="H233" i="1"/>
  <c r="H234" i="1"/>
  <c r="H237" i="1"/>
  <c r="G309" i="1"/>
  <c r="G310" i="1"/>
  <c r="G312" i="1"/>
  <c r="G293" i="1"/>
  <c r="G295" i="1"/>
  <c r="G299" i="1"/>
  <c r="G300" i="1"/>
  <c r="G301" i="1"/>
  <c r="G302" i="1"/>
  <c r="G303" i="1"/>
  <c r="G305" i="1"/>
  <c r="G290" i="1"/>
  <c r="G284" i="1"/>
  <c r="G285" i="1"/>
  <c r="G286" i="1"/>
  <c r="G287" i="1"/>
  <c r="G276" i="1"/>
  <c r="G277" i="1"/>
  <c r="G279" i="1"/>
  <c r="G263" i="1"/>
  <c r="G264" i="1"/>
  <c r="G265" i="1"/>
  <c r="G267" i="1"/>
  <c r="G268" i="1"/>
  <c r="G269" i="1"/>
  <c r="G270" i="1"/>
  <c r="G271" i="1"/>
  <c r="G273" i="1"/>
  <c r="G246" i="1"/>
  <c r="G247" i="1"/>
  <c r="G248" i="1"/>
  <c r="G249" i="1"/>
  <c r="G250" i="1"/>
  <c r="G251" i="1"/>
  <c r="G256" i="1"/>
  <c r="G257" i="1"/>
  <c r="G260" i="1"/>
  <c r="G261" i="1"/>
  <c r="G262" i="1"/>
  <c r="G233" i="1"/>
  <c r="G234" i="1"/>
  <c r="G237" i="1"/>
  <c r="G239" i="1"/>
  <c r="G240" i="1"/>
  <c r="G241" i="1"/>
  <c r="G243" i="1"/>
  <c r="G218" i="1"/>
  <c r="G219" i="1"/>
  <c r="G227" i="1"/>
  <c r="G228" i="1"/>
  <c r="F305" i="1"/>
  <c r="F309" i="1"/>
  <c r="F310" i="1"/>
  <c r="F312" i="1"/>
  <c r="F293" i="1"/>
  <c r="F295" i="1"/>
  <c r="F299" i="1"/>
  <c r="F300" i="1"/>
  <c r="F301" i="1"/>
  <c r="F302" i="1"/>
  <c r="F303" i="1"/>
  <c r="F290" i="1"/>
  <c r="F285" i="1"/>
  <c r="F286" i="1"/>
  <c r="F287" i="1"/>
  <c r="F284" i="1"/>
  <c r="F233" i="1"/>
  <c r="F234" i="1"/>
  <c r="F237" i="1"/>
  <c r="F239" i="1"/>
  <c r="F240" i="1"/>
  <c r="F241" i="1"/>
  <c r="F243" i="1"/>
  <c r="F246" i="1"/>
  <c r="F247" i="1"/>
  <c r="F248" i="1"/>
  <c r="F249" i="1"/>
  <c r="F250" i="1"/>
  <c r="F251" i="1"/>
  <c r="F256" i="1"/>
  <c r="F257" i="1"/>
  <c r="F260" i="1"/>
  <c r="F261" i="1"/>
  <c r="F262" i="1"/>
  <c r="F263" i="1"/>
  <c r="F264" i="1"/>
  <c r="F265" i="1"/>
  <c r="F267" i="1"/>
  <c r="F268" i="1"/>
  <c r="F269" i="1"/>
  <c r="F270" i="1"/>
  <c r="F271" i="1"/>
  <c r="F273" i="1"/>
  <c r="F276" i="1"/>
  <c r="F277" i="1"/>
  <c r="F279" i="1"/>
  <c r="F218" i="1"/>
  <c r="F219" i="1"/>
  <c r="F227" i="1"/>
  <c r="F228" i="1"/>
  <c r="E305" i="1"/>
  <c r="E309" i="1"/>
  <c r="E310" i="1"/>
  <c r="E312" i="1"/>
  <c r="E293" i="1"/>
  <c r="E295" i="1"/>
  <c r="E299" i="1"/>
  <c r="E300" i="1"/>
  <c r="E301" i="1"/>
  <c r="E302" i="1"/>
  <c r="E303" i="1"/>
  <c r="E284" i="1"/>
  <c r="E285" i="1"/>
  <c r="E286" i="1"/>
  <c r="E287" i="1"/>
  <c r="E290" i="1"/>
  <c r="E276" i="1"/>
  <c r="E277" i="1"/>
  <c r="E279" i="1"/>
  <c r="E264" i="1"/>
  <c r="E265" i="1"/>
  <c r="E267" i="1"/>
  <c r="E268" i="1"/>
  <c r="E269" i="1"/>
  <c r="E270" i="1"/>
  <c r="E271" i="1"/>
  <c r="E273" i="1"/>
  <c r="E263" i="1"/>
  <c r="E249" i="1"/>
  <c r="E250" i="1"/>
  <c r="E251" i="1"/>
  <c r="E256" i="1"/>
  <c r="E257" i="1"/>
  <c r="E260" i="1"/>
  <c r="E261" i="1"/>
  <c r="E262" i="1"/>
  <c r="E237" i="1"/>
  <c r="E239" i="1"/>
  <c r="E240" i="1"/>
  <c r="E241" i="1"/>
  <c r="E243" i="1"/>
  <c r="E246" i="1"/>
  <c r="E247" i="1"/>
  <c r="E248" i="1"/>
  <c r="E218" i="1"/>
  <c r="E219" i="1"/>
  <c r="E227" i="1"/>
  <c r="E228" i="1"/>
  <c r="E233" i="1"/>
  <c r="E234" i="1"/>
  <c r="I317" i="1"/>
  <c r="I316" i="1"/>
  <c r="H317" i="1"/>
  <c r="H316" i="1"/>
  <c r="G317" i="1"/>
  <c r="G316" i="1"/>
  <c r="F317" i="1"/>
  <c r="F316" i="1"/>
  <c r="E317" i="1"/>
  <c r="E316" i="1"/>
  <c r="D317" i="1"/>
  <c r="D316" i="1"/>
  <c r="D302" i="1"/>
  <c r="D303" i="1"/>
  <c r="D305" i="1"/>
  <c r="D309" i="1"/>
  <c r="D310" i="1"/>
  <c r="D312" i="1"/>
  <c r="D293" i="1"/>
  <c r="D295" i="1"/>
  <c r="D299" i="1"/>
  <c r="D300" i="1"/>
  <c r="D301" i="1"/>
  <c r="D290" i="1"/>
  <c r="D285" i="1"/>
  <c r="D286" i="1"/>
  <c r="D287" i="1"/>
  <c r="D284" i="1"/>
  <c r="D277" i="1"/>
  <c r="D279" i="1"/>
  <c r="D267" i="1"/>
  <c r="D268" i="1"/>
  <c r="D269" i="1"/>
  <c r="D270" i="1"/>
  <c r="D271" i="1"/>
  <c r="D273" i="1"/>
  <c r="D276" i="1"/>
  <c r="D257" i="1"/>
  <c r="D260" i="1"/>
  <c r="D261" i="1"/>
  <c r="D262" i="1"/>
  <c r="D263" i="1"/>
  <c r="D264" i="1"/>
  <c r="D265" i="1"/>
  <c r="D246" i="1"/>
  <c r="D247" i="1"/>
  <c r="D248" i="1"/>
  <c r="D249" i="1"/>
  <c r="D250" i="1"/>
  <c r="D251" i="1"/>
  <c r="D256" i="1"/>
  <c r="D233" i="1"/>
  <c r="D234" i="1"/>
  <c r="D237" i="1"/>
  <c r="D239" i="1"/>
  <c r="D240" i="1"/>
  <c r="D241" i="1"/>
  <c r="D243" i="1"/>
  <c r="D218" i="1"/>
  <c r="D219" i="1"/>
  <c r="D227" i="1"/>
  <c r="D228" i="1"/>
  <c r="I216" i="1"/>
  <c r="H216" i="1"/>
  <c r="G216" i="1"/>
  <c r="F216" i="1"/>
  <c r="E216" i="1"/>
  <c r="I204" i="1"/>
  <c r="I207" i="1"/>
  <c r="I203" i="1"/>
  <c r="I197" i="1"/>
  <c r="I187" i="1"/>
  <c r="I188" i="1"/>
  <c r="I189" i="1"/>
  <c r="I190" i="1"/>
  <c r="I191" i="1"/>
  <c r="I193" i="1"/>
  <c r="I177" i="1"/>
  <c r="I167" i="1"/>
  <c r="I168" i="1"/>
  <c r="I169" i="1"/>
  <c r="I171" i="1"/>
  <c r="I172" i="1"/>
  <c r="I173" i="1"/>
  <c r="I174" i="1"/>
  <c r="I155" i="1"/>
  <c r="I156" i="1"/>
  <c r="I157" i="1"/>
  <c r="I160" i="1"/>
  <c r="I164" i="1"/>
  <c r="I165" i="1"/>
  <c r="I149" i="1"/>
  <c r="I150" i="1"/>
  <c r="I151" i="1"/>
  <c r="I152" i="1"/>
  <c r="I153" i="1"/>
  <c r="I154" i="1"/>
  <c r="I117" i="1"/>
  <c r="I118" i="1"/>
  <c r="I120" i="1"/>
  <c r="I121" i="1"/>
  <c r="I122" i="1"/>
  <c r="I123" i="1"/>
  <c r="I124" i="1"/>
  <c r="I125" i="1"/>
  <c r="I126" i="1"/>
  <c r="I128" i="1"/>
  <c r="I129" i="1"/>
  <c r="I131" i="1"/>
  <c r="I114" i="1"/>
  <c r="I99" i="1"/>
  <c r="I100" i="1"/>
  <c r="I101" i="1"/>
  <c r="I102" i="1"/>
  <c r="I103" i="1"/>
  <c r="I104" i="1"/>
  <c r="I98" i="1"/>
  <c r="H99" i="1"/>
  <c r="I90" i="1"/>
  <c r="I91" i="1"/>
  <c r="I94" i="1"/>
  <c r="I77" i="1"/>
  <c r="I78" i="1"/>
  <c r="I87" i="1"/>
  <c r="I65" i="1"/>
  <c r="I67" i="1"/>
  <c r="I70" i="1"/>
  <c r="I72" i="1"/>
  <c r="I74" i="1"/>
  <c r="I75" i="1"/>
  <c r="H90" i="1"/>
  <c r="H91" i="1"/>
  <c r="H94" i="1"/>
  <c r="H87" i="1"/>
  <c r="H65" i="1"/>
  <c r="H67" i="1"/>
  <c r="H70" i="1"/>
  <c r="H72" i="1"/>
  <c r="H74" i="1"/>
  <c r="H75" i="1"/>
  <c r="H77" i="1"/>
  <c r="H78" i="1"/>
  <c r="G82" i="1"/>
  <c r="G87" i="1"/>
  <c r="G90" i="1"/>
  <c r="G91" i="1"/>
  <c r="G94" i="1"/>
  <c r="G81" i="1"/>
  <c r="G65" i="1"/>
  <c r="G67" i="1"/>
  <c r="G70" i="1"/>
  <c r="G72" i="1"/>
  <c r="G74" i="1"/>
  <c r="G75" i="1"/>
  <c r="G77" i="1"/>
  <c r="G78" i="1"/>
  <c r="I53" i="1"/>
  <c r="H53" i="1"/>
  <c r="H204" i="1"/>
  <c r="H207" i="1"/>
  <c r="H203" i="1"/>
  <c r="I198" i="1"/>
  <c r="I199" i="1"/>
  <c r="I200" i="1"/>
  <c r="I201" i="1"/>
  <c r="H198" i="1"/>
  <c r="H199" i="1"/>
  <c r="H200" i="1"/>
  <c r="H201" i="1"/>
  <c r="H197" i="1"/>
  <c r="H100" i="1"/>
  <c r="H101" i="1"/>
  <c r="H102" i="1"/>
  <c r="H103" i="1"/>
  <c r="H104" i="1"/>
  <c r="G204" i="1"/>
  <c r="G207" i="1"/>
  <c r="G203" i="1"/>
  <c r="G197" i="1"/>
  <c r="G198" i="1"/>
  <c r="G199" i="1"/>
  <c r="G200" i="1"/>
  <c r="G201" i="1"/>
  <c r="G196" i="1"/>
  <c r="G168" i="1"/>
  <c r="H188" i="1"/>
  <c r="H189" i="1"/>
  <c r="H190" i="1"/>
  <c r="H191" i="1"/>
  <c r="H193" i="1"/>
  <c r="H187" i="1"/>
  <c r="H177" i="1"/>
  <c r="H169" i="1"/>
  <c r="H171" i="1"/>
  <c r="H172" i="1"/>
  <c r="H173" i="1"/>
  <c r="H174" i="1"/>
  <c r="H164" i="1"/>
  <c r="H165" i="1"/>
  <c r="H167" i="1"/>
  <c r="H168" i="1"/>
  <c r="H149" i="1"/>
  <c r="H150" i="1"/>
  <c r="H151" i="1"/>
  <c r="H152" i="1"/>
  <c r="H153" i="1"/>
  <c r="H154" i="1"/>
  <c r="H155" i="1"/>
  <c r="H156" i="1"/>
  <c r="H157" i="1"/>
  <c r="H160" i="1"/>
  <c r="H117" i="1"/>
  <c r="H118" i="1"/>
  <c r="H120" i="1"/>
  <c r="H121" i="1"/>
  <c r="H122" i="1"/>
  <c r="H123" i="1"/>
  <c r="H124" i="1"/>
  <c r="H125" i="1"/>
  <c r="H126" i="1"/>
  <c r="H128" i="1"/>
  <c r="H129" i="1"/>
  <c r="H131" i="1"/>
  <c r="H114" i="1"/>
  <c r="H98" i="1"/>
  <c r="G187" i="1"/>
  <c r="G188" i="1"/>
  <c r="G189" i="1"/>
  <c r="G190" i="1"/>
  <c r="G191" i="1"/>
  <c r="G193" i="1"/>
  <c r="G177" i="1"/>
  <c r="G180" i="1"/>
  <c r="G181" i="1"/>
  <c r="G184" i="1"/>
  <c r="G164" i="1"/>
  <c r="G165" i="1"/>
  <c r="G167" i="1"/>
  <c r="G169" i="1"/>
  <c r="G171" i="1"/>
  <c r="G172" i="1"/>
  <c r="G173" i="1"/>
  <c r="G174" i="1"/>
  <c r="G152" i="1"/>
  <c r="G153" i="1"/>
  <c r="G154" i="1"/>
  <c r="G155" i="1"/>
  <c r="G156" i="1"/>
  <c r="G157" i="1"/>
  <c r="G160" i="1"/>
  <c r="G149" i="1"/>
  <c r="G150" i="1"/>
  <c r="G151" i="1"/>
  <c r="G128" i="1"/>
  <c r="G129" i="1"/>
  <c r="G131" i="1"/>
  <c r="G117" i="1"/>
  <c r="G118" i="1"/>
  <c r="G120" i="1"/>
  <c r="G121" i="1"/>
  <c r="G122" i="1"/>
  <c r="G123" i="1"/>
  <c r="G124" i="1"/>
  <c r="G125" i="1"/>
  <c r="G126" i="1"/>
  <c r="G114" i="1"/>
  <c r="G110" i="1"/>
  <c r="G109" i="1"/>
  <c r="G100" i="1"/>
  <c r="G101" i="1"/>
  <c r="G102" i="1"/>
  <c r="G103" i="1"/>
  <c r="G104" i="1"/>
  <c r="G99" i="1"/>
  <c r="G98" i="1"/>
  <c r="F98" i="1"/>
  <c r="F196" i="1"/>
  <c r="F193" i="1"/>
  <c r="F190" i="1"/>
  <c r="F191" i="1"/>
  <c r="F184" i="1"/>
  <c r="F187" i="1"/>
  <c r="F188" i="1"/>
  <c r="F189" i="1"/>
  <c r="F171" i="1"/>
  <c r="F172" i="1"/>
  <c r="F173" i="1"/>
  <c r="F174" i="1"/>
  <c r="F177" i="1"/>
  <c r="F180" i="1"/>
  <c r="F181" i="1"/>
  <c r="F156" i="1"/>
  <c r="F157" i="1"/>
  <c r="F160" i="1"/>
  <c r="F164" i="1"/>
  <c r="F165" i="1"/>
  <c r="F167" i="1"/>
  <c r="F168" i="1"/>
  <c r="F169" i="1"/>
  <c r="F149" i="1"/>
  <c r="F150" i="1"/>
  <c r="F151" i="1"/>
  <c r="F152" i="1"/>
  <c r="F153" i="1"/>
  <c r="F154" i="1"/>
  <c r="F155" i="1"/>
  <c r="F120" i="1"/>
  <c r="F121" i="1"/>
  <c r="F122" i="1"/>
  <c r="F123" i="1"/>
  <c r="F124" i="1"/>
  <c r="F125" i="1"/>
  <c r="F126" i="1"/>
  <c r="F128" i="1"/>
  <c r="F129" i="1"/>
  <c r="F131" i="1"/>
  <c r="F118" i="1"/>
  <c r="F117" i="1"/>
  <c r="F114" i="1"/>
  <c r="F110" i="1"/>
  <c r="F99" i="1"/>
  <c r="F100" i="1"/>
  <c r="F101" i="1"/>
  <c r="F102" i="1"/>
  <c r="F103" i="1"/>
  <c r="F104" i="1"/>
  <c r="F109" i="1"/>
  <c r="E207" i="1"/>
  <c r="E203" i="1"/>
  <c r="E204" i="1"/>
  <c r="E197" i="1"/>
  <c r="E198" i="1"/>
  <c r="E199" i="1"/>
  <c r="E200" i="1"/>
  <c r="E201" i="1"/>
  <c r="E196" i="1"/>
  <c r="E187" i="1"/>
  <c r="E188" i="1"/>
  <c r="E189" i="1"/>
  <c r="E190" i="1"/>
  <c r="E191" i="1"/>
  <c r="E193" i="1"/>
  <c r="E177" i="1"/>
  <c r="E180" i="1"/>
  <c r="E181" i="1"/>
  <c r="E184" i="1"/>
  <c r="E169" i="1"/>
  <c r="E171" i="1"/>
  <c r="E172" i="1"/>
  <c r="E173" i="1"/>
  <c r="E174" i="1"/>
  <c r="E160" i="1"/>
  <c r="E164" i="1"/>
  <c r="E165" i="1"/>
  <c r="E167" i="1"/>
  <c r="E168" i="1"/>
  <c r="E153" i="1"/>
  <c r="E154" i="1"/>
  <c r="E155" i="1"/>
  <c r="E156" i="1"/>
  <c r="E157" i="1"/>
  <c r="E149" i="1"/>
  <c r="E150" i="1"/>
  <c r="E151" i="1"/>
  <c r="E152" i="1"/>
  <c r="E128" i="1"/>
  <c r="E129" i="1"/>
  <c r="E131" i="1"/>
  <c r="E121" i="1"/>
  <c r="E122" i="1"/>
  <c r="E123" i="1"/>
  <c r="E124" i="1"/>
  <c r="E125" i="1"/>
  <c r="E126" i="1"/>
  <c r="E117" i="1"/>
  <c r="E118" i="1"/>
  <c r="E120" i="1"/>
  <c r="E114" i="1"/>
  <c r="E110" i="1"/>
  <c r="D110" i="1"/>
  <c r="E99" i="1"/>
  <c r="E100" i="1"/>
  <c r="E101" i="1"/>
  <c r="E102" i="1"/>
  <c r="E103" i="1"/>
  <c r="E104" i="1"/>
  <c r="E109" i="1"/>
  <c r="E98" i="1"/>
  <c r="F204" i="1"/>
  <c r="F207" i="1"/>
  <c r="F203" i="1"/>
  <c r="F197" i="1"/>
  <c r="F198" i="1"/>
  <c r="F199" i="1"/>
  <c r="F200" i="1"/>
  <c r="F201" i="1"/>
  <c r="D98" i="1"/>
  <c r="D204" i="1"/>
  <c r="D207" i="1"/>
  <c r="D203" i="1"/>
  <c r="D197" i="1"/>
  <c r="D198" i="1"/>
  <c r="D199" i="1"/>
  <c r="D200" i="1"/>
  <c r="D201" i="1"/>
  <c r="D196" i="1"/>
  <c r="D117" i="1"/>
  <c r="D118" i="1"/>
  <c r="D120" i="1"/>
  <c r="D121" i="1"/>
  <c r="D122" i="1"/>
  <c r="D123" i="1"/>
  <c r="D124" i="1"/>
  <c r="D125" i="1"/>
  <c r="D126" i="1"/>
  <c r="D128" i="1"/>
  <c r="D129" i="1"/>
  <c r="D131" i="1"/>
  <c r="D149" i="1"/>
  <c r="D150" i="1"/>
  <c r="D151" i="1"/>
  <c r="D152" i="1"/>
  <c r="D153" i="1"/>
  <c r="D154" i="1"/>
  <c r="D155" i="1"/>
  <c r="D156" i="1"/>
  <c r="D157" i="1"/>
  <c r="D160" i="1"/>
  <c r="D164" i="1"/>
  <c r="D165" i="1"/>
  <c r="D167" i="1"/>
  <c r="D168" i="1"/>
  <c r="D169" i="1"/>
  <c r="D171" i="1"/>
  <c r="D172" i="1"/>
  <c r="D173" i="1"/>
  <c r="D174" i="1"/>
  <c r="D177" i="1"/>
  <c r="D180" i="1"/>
  <c r="D181" i="1"/>
  <c r="D184" i="1"/>
  <c r="D187" i="1"/>
  <c r="D188" i="1"/>
  <c r="D189" i="1"/>
  <c r="D190" i="1"/>
  <c r="D191" i="1"/>
  <c r="D193" i="1"/>
  <c r="D114" i="1"/>
  <c r="D99" i="1"/>
  <c r="D100" i="1"/>
  <c r="D101" i="1"/>
  <c r="D102" i="1"/>
  <c r="D103" i="1"/>
  <c r="D104" i="1"/>
  <c r="D109" i="1"/>
  <c r="F82" i="1"/>
  <c r="F87" i="1"/>
  <c r="F90" i="1"/>
  <c r="F91" i="1"/>
  <c r="F94" i="1"/>
  <c r="F81" i="1"/>
  <c r="F65" i="1"/>
  <c r="F67" i="1"/>
  <c r="F70" i="1"/>
  <c r="F72" i="1"/>
  <c r="F74" i="1"/>
  <c r="F75" i="1"/>
  <c r="F77" i="1"/>
  <c r="F78" i="1"/>
  <c r="E82" i="1"/>
  <c r="E87" i="1"/>
  <c r="E90" i="1"/>
  <c r="E91" i="1"/>
  <c r="E94" i="1"/>
  <c r="E81" i="1"/>
  <c r="E65" i="1"/>
  <c r="E67" i="1"/>
  <c r="E70" i="1"/>
  <c r="E72" i="1"/>
  <c r="E74" i="1"/>
  <c r="E75" i="1"/>
  <c r="E77" i="1"/>
  <c r="E78" i="1"/>
  <c r="D82" i="1"/>
  <c r="D87" i="1"/>
  <c r="D90" i="1"/>
  <c r="D91" i="1"/>
  <c r="D94" i="1"/>
  <c r="D81" i="1"/>
  <c r="D77" i="1"/>
  <c r="D78" i="1"/>
  <c r="D65" i="1"/>
  <c r="D67" i="1"/>
  <c r="D70" i="1"/>
  <c r="D72" i="1"/>
  <c r="D74" i="1"/>
  <c r="D75" i="1"/>
  <c r="H44" i="1"/>
  <c r="H49" i="1"/>
  <c r="H36" i="1"/>
  <c r="H37" i="1"/>
  <c r="H38" i="1"/>
  <c r="H39" i="1"/>
  <c r="H41" i="1"/>
  <c r="H42" i="1"/>
  <c r="H43" i="1"/>
  <c r="H32" i="1"/>
  <c r="H33" i="1"/>
  <c r="H34" i="1"/>
  <c r="H35" i="1"/>
  <c r="H20" i="1"/>
  <c r="H21" i="1"/>
  <c r="H23" i="1"/>
  <c r="H24" i="1"/>
  <c r="H25" i="1"/>
  <c r="H13" i="1"/>
  <c r="H14" i="1"/>
  <c r="H15" i="1"/>
  <c r="I43" i="1"/>
  <c r="I44" i="1"/>
  <c r="I49" i="1"/>
  <c r="I37" i="1"/>
  <c r="I38" i="1"/>
  <c r="I39" i="1"/>
  <c r="I41" i="1"/>
  <c r="I42" i="1"/>
  <c r="I21" i="1"/>
  <c r="I23" i="1"/>
  <c r="I24" i="1"/>
  <c r="I25" i="1"/>
  <c r="I32" i="1"/>
  <c r="I33" i="1"/>
  <c r="I34" i="1"/>
  <c r="I35" i="1"/>
  <c r="I36" i="1"/>
  <c r="I13" i="1"/>
  <c r="I14" i="1"/>
  <c r="I15" i="1"/>
  <c r="I20" i="1"/>
  <c r="I9" i="1"/>
  <c r="G42" i="1"/>
  <c r="G43" i="1"/>
  <c r="G44" i="1"/>
  <c r="G49" i="1"/>
  <c r="G53" i="1"/>
  <c r="G35" i="1"/>
  <c r="G36" i="1"/>
  <c r="G37" i="1"/>
  <c r="G38" i="1"/>
  <c r="G39" i="1"/>
  <c r="G41" i="1"/>
  <c r="G24" i="1"/>
  <c r="G25" i="1"/>
  <c r="G32" i="1"/>
  <c r="G33" i="1"/>
  <c r="G34" i="1"/>
  <c r="G20" i="1"/>
  <c r="G21" i="1"/>
  <c r="G23" i="1"/>
  <c r="G13" i="1"/>
  <c r="G14" i="1"/>
  <c r="G15" i="1"/>
  <c r="G9" i="1"/>
  <c r="F33" i="1"/>
  <c r="F34" i="1"/>
  <c r="F35" i="1"/>
  <c r="F36" i="1"/>
  <c r="F37" i="1"/>
  <c r="F38" i="1"/>
  <c r="F39" i="1"/>
  <c r="F41" i="1"/>
  <c r="F42" i="1"/>
  <c r="F43" i="1"/>
  <c r="F44" i="1"/>
  <c r="F49" i="1"/>
  <c r="F53" i="1"/>
  <c r="F23" i="1"/>
  <c r="F24" i="1"/>
  <c r="F25" i="1"/>
  <c r="F21" i="1"/>
  <c r="F13" i="1"/>
  <c r="F14" i="1"/>
  <c r="F15" i="1"/>
  <c r="F20" i="1"/>
  <c r="F32" i="1"/>
  <c r="F9" i="1"/>
  <c r="E13" i="1"/>
  <c r="E14" i="1"/>
  <c r="E15" i="1"/>
  <c r="E20" i="1"/>
  <c r="E21" i="1"/>
  <c r="E23" i="1"/>
  <c r="E24" i="1"/>
  <c r="E25" i="1"/>
  <c r="E32" i="1"/>
  <c r="E33" i="1"/>
  <c r="E34" i="1"/>
  <c r="E35" i="1"/>
  <c r="E36" i="1"/>
  <c r="E37" i="1"/>
  <c r="E38" i="1"/>
  <c r="E39" i="1"/>
  <c r="E41" i="1"/>
  <c r="E42" i="1"/>
  <c r="E43" i="1"/>
  <c r="E44" i="1"/>
  <c r="E49" i="1"/>
  <c r="E53" i="1"/>
  <c r="D9" i="1"/>
  <c r="E9" i="1"/>
  <c r="D13" i="1"/>
  <c r="D14" i="1"/>
  <c r="D15" i="1"/>
  <c r="D20" i="1"/>
  <c r="D21" i="1"/>
  <c r="D23" i="1"/>
  <c r="D24" i="1"/>
  <c r="D25" i="1"/>
  <c r="D32" i="1"/>
  <c r="D33" i="1"/>
  <c r="D34" i="1"/>
  <c r="D35" i="1"/>
  <c r="D36" i="1"/>
  <c r="D37" i="1"/>
  <c r="D38" i="1"/>
  <c r="D39" i="1"/>
  <c r="D41" i="1"/>
  <c r="D42" i="1"/>
  <c r="D43" i="1"/>
  <c r="D44" i="1"/>
  <c r="D49" i="1"/>
  <c r="D53" i="1"/>
  <c r="O250" i="1" l="1"/>
  <c r="N250" i="1"/>
  <c r="M250" i="1"/>
  <c r="O221" i="1" l="1"/>
  <c r="N221" i="1"/>
  <c r="M221" i="1"/>
  <c r="L221" i="1"/>
  <c r="K221" i="1"/>
  <c r="O249" i="1"/>
  <c r="N249" i="1"/>
  <c r="M249" i="1"/>
  <c r="O251" i="1"/>
  <c r="N251" i="1"/>
  <c r="M251" i="1"/>
  <c r="G221" i="1" l="1"/>
  <c r="D221" i="1"/>
  <c r="F221" i="1"/>
  <c r="I221" i="1"/>
  <c r="H221" i="1"/>
  <c r="E221" i="1"/>
  <c r="L250" i="1"/>
  <c r="O76" i="1"/>
  <c r="N76" i="1"/>
  <c r="M76" i="1"/>
  <c r="L76" i="1"/>
  <c r="K76" i="1"/>
  <c r="L304" i="1"/>
  <c r="M295" i="1"/>
  <c r="F105" i="1" l="1"/>
  <c r="E105" i="1"/>
  <c r="I105" i="1"/>
  <c r="G105" i="1"/>
  <c r="D105" i="1"/>
  <c r="H105" i="1"/>
  <c r="I76" i="1"/>
  <c r="G76" i="1"/>
  <c r="F76" i="1"/>
  <c r="H76" i="1"/>
  <c r="E76" i="1"/>
  <c r="D76" i="1"/>
  <c r="O295" i="1"/>
  <c r="N295" i="1"/>
  <c r="M296" i="1"/>
  <c r="K296" i="1"/>
  <c r="O296" i="1"/>
  <c r="N296" i="1"/>
  <c r="L296" i="1"/>
  <c r="G296" i="1" l="1"/>
  <c r="E296" i="1"/>
  <c r="F296" i="1"/>
  <c r="D296" i="1"/>
  <c r="I296" i="1"/>
  <c r="H296" i="1"/>
  <c r="O235" i="1"/>
  <c r="N235" i="1"/>
  <c r="M235" i="1"/>
  <c r="L235" i="1"/>
  <c r="K235" i="1"/>
  <c r="O179" i="1"/>
  <c r="N179" i="1"/>
  <c r="M179" i="1"/>
  <c r="L179" i="1"/>
  <c r="K179" i="1"/>
  <c r="O134" i="1"/>
  <c r="M134" i="1"/>
  <c r="L134" i="1"/>
  <c r="K134" i="1"/>
  <c r="F235" i="1" l="1"/>
  <c r="D235" i="1"/>
  <c r="I235" i="1"/>
  <c r="E235" i="1"/>
  <c r="H235" i="1"/>
  <c r="G235" i="1"/>
  <c r="I134" i="1"/>
  <c r="H134" i="1"/>
  <c r="F134" i="1"/>
  <c r="G134" i="1"/>
  <c r="E134" i="1"/>
  <c r="D134" i="1"/>
  <c r="F179" i="1"/>
  <c r="H179" i="1"/>
  <c r="G179" i="1"/>
  <c r="E179" i="1"/>
  <c r="D179" i="1"/>
  <c r="I179" i="1"/>
  <c r="M26" i="1" l="1"/>
  <c r="L26" i="1"/>
  <c r="K26" i="1"/>
  <c r="I47" i="1" l="1"/>
  <c r="F47" i="1"/>
  <c r="G47" i="1"/>
  <c r="D47" i="1"/>
  <c r="H47" i="1"/>
  <c r="E47" i="1"/>
  <c r="F45" i="1"/>
  <c r="G45" i="1"/>
  <c r="H45" i="1"/>
  <c r="E45" i="1"/>
  <c r="I45" i="1"/>
  <c r="D45" i="1"/>
  <c r="H26" i="1"/>
  <c r="E26" i="1"/>
  <c r="G26" i="1"/>
  <c r="F26" i="1"/>
  <c r="D26" i="1"/>
  <c r="I26" i="1"/>
  <c r="I29" i="1"/>
  <c r="H29" i="1"/>
  <c r="G29" i="1"/>
  <c r="F29" i="1"/>
  <c r="D29" i="1"/>
  <c r="E29" i="1"/>
  <c r="G28" i="1"/>
  <c r="D28" i="1"/>
  <c r="E28" i="1"/>
  <c r="I28" i="1"/>
  <c r="H28" i="1"/>
  <c r="F28" i="1"/>
  <c r="G40" i="1" l="1"/>
  <c r="H40" i="1"/>
  <c r="I40" i="1"/>
  <c r="F40" i="1"/>
  <c r="D40" i="1"/>
  <c r="E40" i="1"/>
  <c r="D50" i="1"/>
  <c r="H50" i="1"/>
  <c r="E50" i="1"/>
  <c r="F50" i="1"/>
  <c r="G50" i="1"/>
  <c r="I50" i="1"/>
  <c r="H48" i="1"/>
  <c r="E48" i="1"/>
  <c r="I48" i="1"/>
  <c r="F48" i="1"/>
  <c r="D48" i="1"/>
  <c r="G48" i="1"/>
  <c r="O304" i="1"/>
  <c r="N304" i="1"/>
  <c r="M304" i="1"/>
  <c r="K304" i="1"/>
  <c r="F304" i="1" l="1"/>
  <c r="H304" i="1"/>
  <c r="G304" i="1"/>
  <c r="E304" i="1"/>
  <c r="D304" i="1"/>
  <c r="I304" i="1"/>
  <c r="O273" i="1"/>
  <c r="O272" i="1"/>
  <c r="N272" i="1"/>
  <c r="M272" i="1"/>
  <c r="L272" i="1"/>
  <c r="K272" i="1"/>
  <c r="O62" i="1"/>
  <c r="N62" i="1"/>
  <c r="M62" i="1"/>
  <c r="K62" i="1"/>
  <c r="L62" i="1"/>
  <c r="O59" i="1"/>
  <c r="N59" i="1"/>
  <c r="M59" i="1"/>
  <c r="L59" i="1"/>
  <c r="K59" i="1"/>
  <c r="O58" i="1"/>
  <c r="N58" i="1"/>
  <c r="M58" i="1"/>
  <c r="I63" i="1" l="1"/>
  <c r="G63" i="1"/>
  <c r="F63" i="1"/>
  <c r="H63" i="1"/>
  <c r="E63" i="1"/>
  <c r="D63" i="1"/>
  <c r="I62" i="1"/>
  <c r="G62" i="1"/>
  <c r="F62" i="1"/>
  <c r="H62" i="1"/>
  <c r="E62" i="1"/>
  <c r="D62" i="1"/>
  <c r="I272" i="1"/>
  <c r="H272" i="1"/>
  <c r="F272" i="1"/>
  <c r="E272" i="1"/>
  <c r="D272" i="1"/>
  <c r="G272" i="1"/>
  <c r="H59" i="1"/>
  <c r="E59" i="1"/>
  <c r="D59" i="1"/>
  <c r="I59" i="1"/>
  <c r="G59" i="1"/>
  <c r="F59" i="1"/>
  <c r="L58" i="1"/>
  <c r="K58" i="1"/>
  <c r="H58" i="1" l="1"/>
  <c r="I58" i="1"/>
  <c r="G58" i="1"/>
  <c r="F58" i="1"/>
  <c r="D58" i="1"/>
  <c r="E58" i="1"/>
  <c r="O12" i="1"/>
  <c r="N12" i="1"/>
  <c r="M12" i="1"/>
  <c r="L12" i="1"/>
  <c r="K12" i="1"/>
  <c r="I12" i="1" l="1"/>
  <c r="H12" i="1"/>
  <c r="D12" i="1"/>
  <c r="G12" i="1"/>
  <c r="E12" i="1"/>
  <c r="F12" i="1"/>
  <c r="O116" i="1"/>
  <c r="N116" i="1"/>
  <c r="M116" i="1"/>
  <c r="L116" i="1"/>
  <c r="K116" i="1"/>
  <c r="O205" i="1"/>
  <c r="N205" i="1"/>
  <c r="M205" i="1"/>
  <c r="L205" i="1"/>
  <c r="K205" i="1"/>
  <c r="O137" i="1"/>
  <c r="N137" i="1"/>
  <c r="L137" i="1"/>
  <c r="K137" i="1"/>
  <c r="O110" i="1"/>
  <c r="N110" i="1"/>
  <c r="M110" i="1"/>
  <c r="D205" i="1" l="1"/>
  <c r="I205" i="1"/>
  <c r="G205" i="1"/>
  <c r="H205" i="1"/>
  <c r="F205" i="1"/>
  <c r="E205" i="1"/>
  <c r="G137" i="1"/>
  <c r="I137" i="1"/>
  <c r="H137" i="1"/>
  <c r="F137" i="1"/>
  <c r="E137" i="1"/>
  <c r="D137" i="1"/>
  <c r="D116" i="1"/>
  <c r="G116" i="1"/>
  <c r="F116" i="1"/>
  <c r="I116" i="1"/>
  <c r="H116" i="1"/>
  <c r="E116" i="1"/>
  <c r="O54" i="1"/>
  <c r="N54" i="1"/>
  <c r="M54" i="1"/>
  <c r="L54" i="1"/>
  <c r="K54" i="1"/>
  <c r="F54" i="1" l="1"/>
  <c r="G54" i="1"/>
  <c r="E54" i="1"/>
  <c r="D54" i="1"/>
  <c r="O22" i="1"/>
  <c r="N22" i="1"/>
  <c r="M22" i="1"/>
  <c r="L22" i="1"/>
  <c r="K22" i="1"/>
  <c r="I18" i="1" l="1"/>
  <c r="H18" i="1"/>
  <c r="F18" i="1"/>
  <c r="E18" i="1"/>
  <c r="G18" i="1"/>
  <c r="D18" i="1"/>
  <c r="H16" i="1"/>
  <c r="F16" i="1"/>
  <c r="D16" i="1"/>
  <c r="G16" i="1"/>
  <c r="I16" i="1"/>
  <c r="E16" i="1"/>
  <c r="I11" i="1"/>
  <c r="H11" i="1"/>
  <c r="E11" i="1"/>
  <c r="F11" i="1"/>
  <c r="G11" i="1"/>
  <c r="D11" i="1"/>
  <c r="D22" i="1"/>
  <c r="H22" i="1"/>
  <c r="F22" i="1"/>
  <c r="E22" i="1"/>
  <c r="I22" i="1"/>
  <c r="G22" i="1"/>
  <c r="E19" i="1"/>
  <c r="G19" i="1"/>
  <c r="I19" i="1"/>
  <c r="D19" i="1"/>
  <c r="H19" i="1"/>
  <c r="F19" i="1"/>
  <c r="O141" i="1"/>
  <c r="N141" i="1"/>
  <c r="M141" i="1"/>
  <c r="L141" i="1"/>
  <c r="K141" i="1"/>
  <c r="O142" i="1"/>
  <c r="N142" i="1"/>
  <c r="M142" i="1"/>
  <c r="L142" i="1"/>
  <c r="K142" i="1"/>
  <c r="O263" i="1"/>
  <c r="N263" i="1"/>
  <c r="M263" i="1"/>
  <c r="F10" i="1" l="1"/>
  <c r="H10" i="1"/>
  <c r="D10" i="1"/>
  <c r="G10" i="1"/>
  <c r="I10" i="1"/>
  <c r="E10" i="1"/>
  <c r="I142" i="1"/>
  <c r="H142" i="1"/>
  <c r="G142" i="1"/>
  <c r="D142" i="1"/>
  <c r="F142" i="1"/>
  <c r="E142" i="1"/>
  <c r="E141" i="1"/>
  <c r="D141" i="1"/>
  <c r="I141" i="1"/>
  <c r="H141" i="1"/>
  <c r="G141" i="1"/>
  <c r="F141" i="1"/>
  <c r="E175" i="1"/>
  <c r="F175" i="1"/>
  <c r="I175" i="1"/>
  <c r="H175" i="1"/>
  <c r="G175" i="1"/>
  <c r="D175" i="1"/>
  <c r="O183" i="1"/>
  <c r="N183" i="1"/>
  <c r="M183" i="1"/>
  <c r="L183" i="1"/>
  <c r="K183" i="1"/>
  <c r="D183" i="1" l="1"/>
  <c r="G183" i="1"/>
  <c r="E183" i="1"/>
  <c r="F183" i="1"/>
  <c r="K140" i="1"/>
  <c r="E140" i="1" l="1"/>
  <c r="D140" i="1"/>
  <c r="F140" i="1"/>
  <c r="I140" i="1"/>
  <c r="H140" i="1"/>
  <c r="G140" i="1"/>
  <c r="O192" i="1"/>
  <c r="N192" i="1"/>
  <c r="M192" i="1"/>
  <c r="L192" i="1"/>
  <c r="K192" i="1"/>
  <c r="O143" i="1"/>
  <c r="N143" i="1"/>
  <c r="M143" i="1"/>
  <c r="L143" i="1"/>
  <c r="K143" i="1"/>
  <c r="O119" i="1"/>
  <c r="N119" i="1"/>
  <c r="M119" i="1"/>
  <c r="L119" i="1"/>
  <c r="K119" i="1"/>
  <c r="O115" i="1"/>
  <c r="N115" i="1"/>
  <c r="M115" i="1"/>
  <c r="L115" i="1"/>
  <c r="K115" i="1"/>
  <c r="O140" i="1"/>
  <c r="N140" i="1"/>
  <c r="M140" i="1"/>
  <c r="L140" i="1"/>
  <c r="M273" i="1"/>
  <c r="N273" i="1"/>
  <c r="O276" i="1"/>
  <c r="O310" i="1"/>
  <c r="N310" i="1"/>
  <c r="M310" i="1"/>
  <c r="O234" i="1"/>
  <c r="N234" i="1"/>
  <c r="M234" i="1"/>
  <c r="O233" i="1"/>
  <c r="N233" i="1"/>
  <c r="M233" i="1"/>
  <c r="O216" i="1"/>
  <c r="N216" i="1"/>
  <c r="M216" i="1"/>
  <c r="O303" i="1"/>
  <c r="N303" i="1"/>
  <c r="M303" i="1"/>
  <c r="O277" i="1"/>
  <c r="N277" i="1"/>
  <c r="M277" i="1"/>
  <c r="N276" i="1"/>
  <c r="M276" i="1"/>
  <c r="O262" i="1"/>
  <c r="N262" i="1"/>
  <c r="M262" i="1"/>
  <c r="O257" i="1"/>
  <c r="N257" i="1"/>
  <c r="M257" i="1"/>
  <c r="O287" i="1"/>
  <c r="N287" i="1"/>
  <c r="M287" i="1"/>
  <c r="O309" i="1"/>
  <c r="N309" i="1"/>
  <c r="M309" i="1"/>
  <c r="O290" i="1"/>
  <c r="N290" i="1"/>
  <c r="M290" i="1"/>
  <c r="O265" i="1"/>
  <c r="N265" i="1"/>
  <c r="M265" i="1"/>
  <c r="O268" i="1"/>
  <c r="N268" i="1"/>
  <c r="M268" i="1"/>
  <c r="O271" i="1"/>
  <c r="N271" i="1"/>
  <c r="M271" i="1"/>
  <c r="O241" i="1"/>
  <c r="N241" i="1"/>
  <c r="M241" i="1"/>
  <c r="O240" i="1"/>
  <c r="N240" i="1"/>
  <c r="M240" i="1"/>
  <c r="O293" i="1"/>
  <c r="N293" i="1"/>
  <c r="M293" i="1"/>
  <c r="O294" i="1"/>
  <c r="N294" i="1"/>
  <c r="M294" i="1"/>
  <c r="L294" i="1"/>
  <c r="K294" i="1"/>
  <c r="O229" i="1"/>
  <c r="N229" i="1"/>
  <c r="M229" i="1"/>
  <c r="L229" i="1"/>
  <c r="K229" i="1"/>
  <c r="O217" i="1"/>
  <c r="N217" i="1"/>
  <c r="M217" i="1"/>
  <c r="L217" i="1"/>
  <c r="K217" i="1"/>
  <c r="O222" i="1"/>
  <c r="N222" i="1"/>
  <c r="M222" i="1"/>
  <c r="L222" i="1"/>
  <c r="K222" i="1"/>
  <c r="O220" i="1"/>
  <c r="N220" i="1"/>
  <c r="M220" i="1"/>
  <c r="L220" i="1"/>
  <c r="K220" i="1"/>
  <c r="H192" i="1" l="1"/>
  <c r="I192" i="1"/>
  <c r="G192" i="1"/>
  <c r="F192" i="1"/>
  <c r="D192" i="1"/>
  <c r="E192" i="1"/>
  <c r="F220" i="1"/>
  <c r="I220" i="1"/>
  <c r="H220" i="1"/>
  <c r="E220" i="1"/>
  <c r="G220" i="1"/>
  <c r="D220" i="1"/>
  <c r="E143" i="1"/>
  <c r="G143" i="1"/>
  <c r="D143" i="1"/>
  <c r="F143" i="1"/>
  <c r="G217" i="1"/>
  <c r="I217" i="1"/>
  <c r="H217" i="1"/>
  <c r="E217" i="1"/>
  <c r="D217" i="1"/>
  <c r="F217" i="1"/>
  <c r="I119" i="1"/>
  <c r="H119" i="1"/>
  <c r="F119" i="1"/>
  <c r="E119" i="1"/>
  <c r="D119" i="1"/>
  <c r="G119" i="1"/>
  <c r="G222" i="1"/>
  <c r="D222" i="1"/>
  <c r="F222" i="1"/>
  <c r="I222" i="1"/>
  <c r="E222" i="1"/>
  <c r="H222" i="1"/>
  <c r="E294" i="1"/>
  <c r="F294" i="1"/>
  <c r="I294" i="1"/>
  <c r="H294" i="1"/>
  <c r="D294" i="1"/>
  <c r="G294" i="1"/>
  <c r="I229" i="1"/>
  <c r="H229" i="1"/>
  <c r="E229" i="1"/>
  <c r="F229" i="1"/>
  <c r="G229" i="1"/>
  <c r="D229" i="1"/>
  <c r="G115" i="1"/>
  <c r="F115" i="1"/>
  <c r="I115" i="1"/>
  <c r="H115" i="1"/>
  <c r="E115" i="1"/>
  <c r="D115" i="1"/>
  <c r="O245" i="1"/>
  <c r="N246" i="1"/>
  <c r="N245" i="1"/>
  <c r="M245" i="1"/>
  <c r="L245" i="1"/>
  <c r="K245" i="1"/>
  <c r="O248" i="1"/>
  <c r="N248" i="1"/>
  <c r="M248" i="1"/>
  <c r="L248" i="1"/>
  <c r="O247" i="1"/>
  <c r="N247" i="1"/>
  <c r="M247" i="1"/>
  <c r="L247" i="1"/>
  <c r="G245" i="1" l="1"/>
  <c r="E245" i="1"/>
  <c r="D245" i="1"/>
  <c r="I245" i="1"/>
  <c r="H245" i="1"/>
  <c r="F245" i="1"/>
  <c r="O53" i="1"/>
  <c r="N53" i="1"/>
  <c r="M53" i="1"/>
  <c r="O75" i="1" l="1"/>
  <c r="N75" i="1"/>
  <c r="M75" i="1"/>
  <c r="O92" i="1" l="1"/>
  <c r="N92" i="1"/>
  <c r="M92" i="1"/>
  <c r="L92" i="1"/>
  <c r="K92" i="1"/>
  <c r="O89" i="1"/>
  <c r="N89" i="1"/>
  <c r="M89" i="1"/>
  <c r="L89" i="1"/>
  <c r="K89" i="1"/>
  <c r="O88" i="1"/>
  <c r="N88" i="1"/>
  <c r="M88" i="1"/>
  <c r="L88" i="1"/>
  <c r="K88" i="1"/>
  <c r="O93" i="1"/>
  <c r="N93" i="1"/>
  <c r="M93" i="1"/>
  <c r="L93" i="1"/>
  <c r="K93" i="1"/>
  <c r="L71" i="1"/>
  <c r="O71" i="1"/>
  <c r="N71" i="1"/>
  <c r="M71" i="1"/>
  <c r="K71" i="1"/>
  <c r="O69" i="1"/>
  <c r="N69" i="1"/>
  <c r="M69" i="1"/>
  <c r="L69" i="1"/>
  <c r="K69" i="1"/>
  <c r="O246" i="1"/>
  <c r="I71" i="1" l="1"/>
  <c r="G71" i="1"/>
  <c r="F71" i="1"/>
  <c r="H71" i="1"/>
  <c r="E71" i="1"/>
  <c r="D71" i="1"/>
  <c r="H69" i="1"/>
  <c r="E69" i="1"/>
  <c r="D69" i="1"/>
  <c r="I69" i="1"/>
  <c r="G69" i="1"/>
  <c r="F69" i="1"/>
  <c r="H89" i="1"/>
  <c r="E89" i="1"/>
  <c r="I89" i="1"/>
  <c r="G89" i="1"/>
  <c r="D89" i="1"/>
  <c r="F89" i="1"/>
  <c r="H68" i="1"/>
  <c r="E68" i="1"/>
  <c r="D68" i="1"/>
  <c r="G68" i="1"/>
  <c r="I68" i="1"/>
  <c r="F68" i="1"/>
  <c r="G92" i="1"/>
  <c r="F92" i="1"/>
  <c r="D92" i="1"/>
  <c r="H92" i="1"/>
  <c r="I92" i="1"/>
  <c r="E92" i="1"/>
  <c r="E88" i="1"/>
  <c r="I88" i="1"/>
  <c r="H88" i="1"/>
  <c r="G88" i="1"/>
  <c r="F88" i="1"/>
  <c r="D88" i="1"/>
  <c r="I93" i="1"/>
  <c r="G93" i="1"/>
  <c r="F93" i="1"/>
  <c r="D93" i="1"/>
  <c r="H93" i="1"/>
  <c r="E93" i="1"/>
  <c r="H73" i="1"/>
  <c r="E73" i="1"/>
  <c r="D73" i="1"/>
  <c r="I73" i="1"/>
  <c r="G73" i="1"/>
  <c r="F73" i="1"/>
  <c r="O128" i="1"/>
  <c r="N128" i="1"/>
  <c r="M128" i="1"/>
  <c r="O161" i="1"/>
  <c r="N161" i="1"/>
  <c r="M161" i="1"/>
  <c r="L161" i="1"/>
  <c r="K161" i="1"/>
  <c r="O160" i="1"/>
  <c r="N160" i="1"/>
  <c r="M160" i="1"/>
  <c r="H161" i="1" l="1"/>
  <c r="F161" i="1"/>
  <c r="G161" i="1"/>
  <c r="I161" i="1"/>
  <c r="D161" i="1"/>
  <c r="E161" i="1"/>
  <c r="O292" i="1"/>
  <c r="N292" i="1"/>
  <c r="M292" i="1"/>
  <c r="L292" i="1"/>
  <c r="K292" i="1"/>
  <c r="H292" i="1" l="1"/>
  <c r="D292" i="1"/>
  <c r="G292" i="1"/>
  <c r="I292" i="1"/>
  <c r="F292" i="1"/>
  <c r="E292" i="1"/>
  <c r="N176" i="1"/>
  <c r="M176" i="1"/>
  <c r="L176" i="1"/>
  <c r="K176" i="1"/>
  <c r="D176" i="1" l="1"/>
  <c r="E176" i="1"/>
  <c r="F176" i="1"/>
  <c r="G176" i="1"/>
  <c r="I176" i="1"/>
  <c r="H176" i="1"/>
  <c r="O176" i="1"/>
  <c r="M177" i="1"/>
  <c r="O174" i="1"/>
  <c r="N174" i="1"/>
  <c r="M174" i="1"/>
  <c r="L174" i="1"/>
  <c r="O193" i="1"/>
  <c r="N193" i="1"/>
  <c r="M193" i="1"/>
  <c r="M184" i="1"/>
  <c r="O184" i="1"/>
  <c r="N184" i="1"/>
  <c r="L184" i="1"/>
  <c r="O182" i="1"/>
  <c r="N182" i="1"/>
  <c r="M182" i="1"/>
  <c r="L182" i="1"/>
  <c r="K182" i="1"/>
  <c r="K166" i="1"/>
  <c r="O166" i="1"/>
  <c r="N166" i="1"/>
  <c r="M166" i="1"/>
  <c r="L166" i="1"/>
  <c r="O211" i="1"/>
  <c r="N211" i="1"/>
  <c r="M211" i="1"/>
  <c r="L211" i="1"/>
  <c r="K211" i="1"/>
  <c r="O159" i="1"/>
  <c r="N159" i="1"/>
  <c r="M159" i="1"/>
  <c r="L159" i="1"/>
  <c r="K159" i="1"/>
  <c r="O158" i="1"/>
  <c r="N158" i="1"/>
  <c r="M158" i="1"/>
  <c r="L158" i="1"/>
  <c r="K158" i="1"/>
  <c r="A158" i="1"/>
  <c r="O206" i="1"/>
  <c r="N206" i="1"/>
  <c r="M206" i="1"/>
  <c r="L206" i="1"/>
  <c r="K206" i="1"/>
  <c r="M120" i="1"/>
  <c r="O208" i="1"/>
  <c r="N208" i="1"/>
  <c r="M208" i="1"/>
  <c r="L208" i="1"/>
  <c r="K208" i="1"/>
  <c r="O210" i="1"/>
  <c r="N210" i="1"/>
  <c r="M210" i="1"/>
  <c r="L210" i="1"/>
  <c r="K210" i="1"/>
  <c r="O204" i="1"/>
  <c r="N204" i="1"/>
  <c r="M204" i="1"/>
  <c r="O130" i="1"/>
  <c r="N130" i="1"/>
  <c r="M130" i="1"/>
  <c r="L130" i="1"/>
  <c r="K130" i="1"/>
  <c r="O127" i="1"/>
  <c r="N127" i="1"/>
  <c r="M127" i="1"/>
  <c r="L127" i="1"/>
  <c r="K127" i="1"/>
  <c r="O129" i="1"/>
  <c r="N129" i="1"/>
  <c r="M129" i="1"/>
  <c r="O126" i="1"/>
  <c r="N126" i="1"/>
  <c r="M126" i="1"/>
  <c r="O203" i="1"/>
  <c r="N203" i="1"/>
  <c r="M203" i="1"/>
  <c r="D182" i="1" l="1"/>
  <c r="F182" i="1"/>
  <c r="E182" i="1"/>
  <c r="G182" i="1"/>
  <c r="H211" i="1"/>
  <c r="F211" i="1"/>
  <c r="E211" i="1"/>
  <c r="D211" i="1"/>
  <c r="I211" i="1"/>
  <c r="G211" i="1"/>
  <c r="I130" i="1"/>
  <c r="H130" i="1"/>
  <c r="F130" i="1"/>
  <c r="E130" i="1"/>
  <c r="D130" i="1"/>
  <c r="G130" i="1"/>
  <c r="F159" i="1"/>
  <c r="G159" i="1"/>
  <c r="I159" i="1"/>
  <c r="D159" i="1"/>
  <c r="H159" i="1"/>
  <c r="E159" i="1"/>
  <c r="G127" i="1"/>
  <c r="E127" i="1"/>
  <c r="I127" i="1"/>
  <c r="H127" i="1"/>
  <c r="F127" i="1"/>
  <c r="D127" i="1"/>
  <c r="H208" i="1"/>
  <c r="E208" i="1"/>
  <c r="F208" i="1"/>
  <c r="D208" i="1"/>
  <c r="I208" i="1"/>
  <c r="G208" i="1"/>
  <c r="D206" i="1"/>
  <c r="I206" i="1"/>
  <c r="G206" i="1"/>
  <c r="E206" i="1"/>
  <c r="F206" i="1"/>
  <c r="H206" i="1"/>
  <c r="G158" i="1"/>
  <c r="I158" i="1"/>
  <c r="D158" i="1"/>
  <c r="E158" i="1"/>
  <c r="F158" i="1"/>
  <c r="H158" i="1"/>
  <c r="I210" i="1"/>
  <c r="G210" i="1"/>
  <c r="H210" i="1"/>
  <c r="F210" i="1"/>
  <c r="E210" i="1"/>
  <c r="D210" i="1"/>
  <c r="I166" i="1"/>
  <c r="E166" i="1"/>
  <c r="D166" i="1"/>
  <c r="G166" i="1"/>
  <c r="F166" i="1"/>
  <c r="H166" i="1"/>
  <c r="N72" i="1"/>
  <c r="O82" i="1"/>
  <c r="N82" i="1"/>
  <c r="M82" i="1"/>
  <c r="N266" i="1" l="1"/>
  <c r="M266" i="1"/>
  <c r="N227" i="1"/>
  <c r="O312" i="1" l="1"/>
  <c r="O302" i="1"/>
  <c r="O299" i="1"/>
  <c r="O286" i="1"/>
  <c r="O285" i="1"/>
  <c r="O284" i="1"/>
  <c r="O280" i="1"/>
  <c r="O279" i="1"/>
  <c r="O278" i="1"/>
  <c r="O270" i="1"/>
  <c r="O269" i="1"/>
  <c r="O266" i="1"/>
  <c r="O264" i="1"/>
  <c r="O261" i="1"/>
  <c r="O260" i="1"/>
  <c r="O259" i="1"/>
  <c r="O258" i="1"/>
  <c r="O256" i="1"/>
  <c r="O244" i="1"/>
  <c r="O243" i="1"/>
  <c r="O242" i="1"/>
  <c r="O239" i="1"/>
  <c r="O238" i="1"/>
  <c r="O237" i="1"/>
  <c r="O232" i="1"/>
  <c r="O228" i="1"/>
  <c r="O227" i="1"/>
  <c r="O219" i="1"/>
  <c r="O218" i="1"/>
  <c r="O207" i="1"/>
  <c r="O201" i="1"/>
  <c r="O200" i="1"/>
  <c r="O199" i="1"/>
  <c r="O198" i="1"/>
  <c r="O197" i="1"/>
  <c r="O196" i="1"/>
  <c r="O191" i="1"/>
  <c r="O189" i="1"/>
  <c r="O188" i="1"/>
  <c r="O187" i="1"/>
  <c r="O181" i="1"/>
  <c r="O180" i="1"/>
  <c r="O177" i="1"/>
  <c r="O173" i="1"/>
  <c r="O167" i="1"/>
  <c r="O157" i="1"/>
  <c r="O156" i="1"/>
  <c r="O153" i="1"/>
  <c r="O125" i="1"/>
  <c r="O124" i="1"/>
  <c r="O123" i="1"/>
  <c r="O122" i="1"/>
  <c r="O121" i="1"/>
  <c r="O120" i="1"/>
  <c r="O117" i="1"/>
  <c r="O114" i="1"/>
  <c r="O109" i="1"/>
  <c r="O104" i="1"/>
  <c r="O103" i="1"/>
  <c r="O102" i="1"/>
  <c r="O101" i="1"/>
  <c r="O99" i="1"/>
  <c r="O98" i="1"/>
  <c r="O94" i="1"/>
  <c r="O87" i="1"/>
  <c r="O78" i="1"/>
  <c r="O77" i="1"/>
  <c r="O74" i="1"/>
  <c r="O72" i="1"/>
  <c r="O70" i="1"/>
  <c r="O67" i="1"/>
  <c r="O65" i="1"/>
  <c r="O39" i="1"/>
  <c r="O38" i="1"/>
  <c r="O37" i="1"/>
  <c r="O35" i="1"/>
  <c r="O32" i="1"/>
  <c r="O25" i="1"/>
  <c r="O23" i="1"/>
  <c r="O15" i="1"/>
  <c r="O14" i="1"/>
  <c r="O13" i="1"/>
  <c r="O9" i="1"/>
  <c r="L170" i="1"/>
  <c r="K170" i="1"/>
  <c r="O100" i="1"/>
  <c r="O81" i="1"/>
  <c r="O20" i="1"/>
  <c r="G170" i="1" l="1"/>
  <c r="D170" i="1"/>
  <c r="E170" i="1"/>
  <c r="H170" i="1"/>
  <c r="F170" i="1"/>
  <c r="I170" i="1"/>
  <c r="N312" i="1"/>
  <c r="M312" i="1"/>
  <c r="N302" i="1"/>
  <c r="M302" i="1"/>
  <c r="O301" i="1"/>
  <c r="N301" i="1"/>
  <c r="M301" i="1"/>
  <c r="O300" i="1"/>
  <c r="N300" i="1"/>
  <c r="M300" i="1"/>
  <c r="N299" i="1"/>
  <c r="M299" i="1"/>
  <c r="N286" i="1"/>
  <c r="M286" i="1"/>
  <c r="N285" i="1"/>
  <c r="M285" i="1"/>
  <c r="N284" i="1"/>
  <c r="M284" i="1"/>
  <c r="N280" i="1"/>
  <c r="M280" i="1"/>
  <c r="N279" i="1"/>
  <c r="M279" i="1"/>
  <c r="N278" i="1"/>
  <c r="M278" i="1"/>
  <c r="N270" i="1"/>
  <c r="M270" i="1"/>
  <c r="N269" i="1"/>
  <c r="M269" i="1"/>
  <c r="N264" i="1"/>
  <c r="M264" i="1"/>
  <c r="N261" i="1"/>
  <c r="M261" i="1"/>
  <c r="N260" i="1"/>
  <c r="M260" i="1"/>
  <c r="N259" i="1"/>
  <c r="M259" i="1"/>
  <c r="N258" i="1"/>
  <c r="M258" i="1"/>
  <c r="N256" i="1"/>
  <c r="M256" i="1"/>
  <c r="M246" i="1"/>
  <c r="N244" i="1"/>
  <c r="M244" i="1"/>
  <c r="N243" i="1"/>
  <c r="M243" i="1"/>
  <c r="N242" i="1"/>
  <c r="M242" i="1"/>
  <c r="N239" i="1"/>
  <c r="M239" i="1"/>
  <c r="N238" i="1"/>
  <c r="M238" i="1"/>
  <c r="N237" i="1"/>
  <c r="M237" i="1"/>
  <c r="N232" i="1"/>
  <c r="M232" i="1"/>
  <c r="N228" i="1"/>
  <c r="M228" i="1"/>
  <c r="M227" i="1"/>
  <c r="N219" i="1"/>
  <c r="M219" i="1"/>
  <c r="N218" i="1"/>
  <c r="M218" i="1"/>
  <c r="N207" i="1"/>
  <c r="M207" i="1"/>
  <c r="N201" i="1"/>
  <c r="M201" i="1"/>
  <c r="N200" i="1"/>
  <c r="M200" i="1"/>
  <c r="N199" i="1"/>
  <c r="M199" i="1"/>
  <c r="M198" i="1"/>
  <c r="N197" i="1"/>
  <c r="M197" i="1"/>
  <c r="N196" i="1"/>
  <c r="M196" i="1"/>
  <c r="N191" i="1"/>
  <c r="M191" i="1"/>
  <c r="O190" i="1"/>
  <c r="N190" i="1"/>
  <c r="M190" i="1"/>
  <c r="N189" i="1"/>
  <c r="M189" i="1"/>
  <c r="N188" i="1"/>
  <c r="M188" i="1"/>
  <c r="N187" i="1"/>
  <c r="M187" i="1"/>
  <c r="N181" i="1"/>
  <c r="M181" i="1"/>
  <c r="N180" i="1"/>
  <c r="M180" i="1"/>
  <c r="N177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N167" i="1"/>
  <c r="M167" i="1"/>
  <c r="O165" i="1"/>
  <c r="N165" i="1"/>
  <c r="M165" i="1"/>
  <c r="O164" i="1"/>
  <c r="N164" i="1"/>
  <c r="M164" i="1"/>
  <c r="N157" i="1"/>
  <c r="M157" i="1"/>
  <c r="N156" i="1"/>
  <c r="M156" i="1"/>
  <c r="O155" i="1"/>
  <c r="N155" i="1"/>
  <c r="M155" i="1"/>
  <c r="O154" i="1"/>
  <c r="N154" i="1"/>
  <c r="M154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N125" i="1"/>
  <c r="M125" i="1"/>
  <c r="N124" i="1"/>
  <c r="M124" i="1"/>
  <c r="N123" i="1"/>
  <c r="M123" i="1"/>
  <c r="N122" i="1"/>
  <c r="M122" i="1"/>
  <c r="N121" i="1"/>
  <c r="M121" i="1"/>
  <c r="N120" i="1"/>
  <c r="O118" i="1"/>
  <c r="N118" i="1"/>
  <c r="M118" i="1"/>
  <c r="N117" i="1"/>
  <c r="M117" i="1"/>
  <c r="N114" i="1"/>
  <c r="M114" i="1"/>
  <c r="M109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4" i="1"/>
  <c r="M94" i="1"/>
  <c r="O91" i="1"/>
  <c r="N91" i="1"/>
  <c r="M91" i="1"/>
  <c r="O90" i="1"/>
  <c r="N90" i="1"/>
  <c r="M90" i="1"/>
  <c r="N87" i="1"/>
  <c r="M87" i="1"/>
  <c r="N81" i="1"/>
  <c r="M81" i="1"/>
  <c r="N78" i="1"/>
  <c r="M78" i="1"/>
  <c r="N77" i="1"/>
  <c r="M77" i="1"/>
  <c r="N74" i="1"/>
  <c r="M74" i="1"/>
  <c r="M72" i="1"/>
  <c r="N70" i="1"/>
  <c r="M70" i="1"/>
  <c r="N67" i="1"/>
  <c r="M67" i="1"/>
  <c r="N65" i="1"/>
  <c r="M65" i="1"/>
  <c r="O44" i="1"/>
  <c r="N44" i="1"/>
  <c r="M44" i="1"/>
  <c r="O43" i="1"/>
  <c r="N43" i="1"/>
  <c r="M43" i="1"/>
  <c r="O42" i="1"/>
  <c r="N42" i="1"/>
  <c r="M42" i="1"/>
  <c r="O41" i="1"/>
  <c r="N41" i="1"/>
  <c r="M41" i="1"/>
  <c r="N39" i="1"/>
  <c r="M39" i="1"/>
  <c r="N38" i="1"/>
  <c r="M38" i="1"/>
  <c r="N37" i="1"/>
  <c r="M37" i="1"/>
  <c r="O36" i="1"/>
  <c r="N36" i="1"/>
  <c r="M36" i="1"/>
  <c r="N35" i="1"/>
  <c r="M35" i="1"/>
  <c r="O34" i="1"/>
  <c r="N34" i="1"/>
  <c r="M34" i="1"/>
  <c r="O33" i="1"/>
  <c r="N33" i="1"/>
  <c r="M33" i="1"/>
  <c r="M32" i="1"/>
  <c r="N25" i="1" l="1"/>
  <c r="M25" i="1"/>
  <c r="O24" i="1"/>
  <c r="N24" i="1"/>
  <c r="M24" i="1"/>
  <c r="N23" i="1"/>
  <c r="M23" i="1"/>
  <c r="N20" i="1"/>
  <c r="O15" i="4"/>
  <c r="N15" i="4"/>
  <c r="M15" i="4"/>
  <c r="I15" i="4"/>
  <c r="H15" i="4"/>
  <c r="G15" i="4"/>
  <c r="F15" i="4"/>
  <c r="E15" i="4"/>
  <c r="D15" i="4"/>
  <c r="O21" i="1"/>
  <c r="N21" i="1"/>
  <c r="M21" i="1"/>
  <c r="N15" i="1"/>
  <c r="M15" i="1"/>
  <c r="N14" i="1"/>
  <c r="M14" i="1"/>
  <c r="N13" i="1"/>
  <c r="M13" i="1"/>
  <c r="N9" i="1"/>
  <c r="M9" i="1"/>
  <c r="L94" i="1" l="1"/>
  <c r="C4" i="3" l="1"/>
  <c r="C3" i="3"/>
  <c r="C26" i="3"/>
  <c r="N198" i="1" l="1"/>
  <c r="A172" i="1" l="1"/>
  <c r="K232" i="1"/>
  <c r="L232" i="1"/>
  <c r="K238" i="1"/>
  <c r="L238" i="1"/>
  <c r="K242" i="1"/>
  <c r="L242" i="1"/>
  <c r="K244" i="1"/>
  <c r="L244" i="1"/>
  <c r="K258" i="1"/>
  <c r="K259" i="1"/>
  <c r="L259" i="1"/>
  <c r="K266" i="1"/>
  <c r="L266" i="1"/>
  <c r="K278" i="1"/>
  <c r="L278" i="1"/>
  <c r="K280" i="1"/>
  <c r="L280" i="1"/>
  <c r="I258" i="1" l="1"/>
  <c r="H258" i="1"/>
  <c r="F258" i="1"/>
  <c r="E258" i="1"/>
  <c r="G258" i="1"/>
  <c r="D258" i="1"/>
  <c r="I242" i="1"/>
  <c r="H242" i="1"/>
  <c r="F242" i="1"/>
  <c r="D242" i="1"/>
  <c r="G242" i="1"/>
  <c r="E242" i="1"/>
  <c r="G280" i="1"/>
  <c r="E280" i="1"/>
  <c r="F280" i="1"/>
  <c r="D280" i="1"/>
  <c r="I259" i="1"/>
  <c r="H259" i="1"/>
  <c r="F259" i="1"/>
  <c r="E259" i="1"/>
  <c r="D259" i="1"/>
  <c r="G259" i="1"/>
  <c r="G238" i="1"/>
  <c r="E238" i="1"/>
  <c r="I238" i="1"/>
  <c r="H238" i="1"/>
  <c r="F238" i="1"/>
  <c r="D238" i="1"/>
  <c r="F278" i="1"/>
  <c r="D278" i="1"/>
  <c r="E278" i="1"/>
  <c r="G278" i="1"/>
  <c r="G244" i="1"/>
  <c r="E244" i="1"/>
  <c r="I244" i="1"/>
  <c r="H244" i="1"/>
  <c r="F244" i="1"/>
  <c r="D244" i="1"/>
  <c r="H232" i="1"/>
  <c r="I232" i="1"/>
  <c r="E232" i="1"/>
  <c r="F232" i="1"/>
  <c r="D232" i="1"/>
  <c r="G232" i="1"/>
  <c r="D266" i="1"/>
  <c r="I266" i="1"/>
  <c r="H266" i="1"/>
  <c r="F266" i="1"/>
  <c r="E266" i="1"/>
  <c r="G266" i="1"/>
  <c r="O84" i="4"/>
  <c r="N84" i="4"/>
  <c r="M84" i="4"/>
  <c r="I84" i="4"/>
  <c r="H84" i="4"/>
  <c r="G84" i="4"/>
  <c r="F84" i="4"/>
  <c r="E84" i="4"/>
  <c r="D84" i="4"/>
  <c r="O83" i="4"/>
  <c r="N83" i="4"/>
  <c r="M83" i="4"/>
  <c r="I83" i="4"/>
  <c r="H83" i="4"/>
  <c r="G83" i="4"/>
  <c r="F83" i="4"/>
  <c r="E83" i="4"/>
  <c r="D83" i="4"/>
  <c r="D74" i="4"/>
  <c r="E74" i="4"/>
  <c r="F74" i="4"/>
  <c r="G74" i="4"/>
  <c r="H74" i="4"/>
  <c r="I74" i="4"/>
  <c r="M74" i="4"/>
  <c r="N74" i="4"/>
  <c r="O74" i="4"/>
  <c r="O11" i="4"/>
  <c r="N11" i="4"/>
  <c r="M11" i="4"/>
  <c r="I11" i="4"/>
  <c r="H11" i="4"/>
  <c r="G11" i="4"/>
  <c r="F11" i="4"/>
  <c r="E11" i="4"/>
  <c r="D11" i="4"/>
  <c r="I5" i="4"/>
  <c r="H5" i="4"/>
  <c r="G5" i="4"/>
  <c r="F5" i="4"/>
  <c r="E5" i="4"/>
  <c r="D5" i="4"/>
  <c r="I66" i="4"/>
  <c r="H66" i="4"/>
  <c r="G66" i="4"/>
  <c r="F66" i="4"/>
  <c r="E66" i="4"/>
  <c r="D66" i="4"/>
  <c r="I56" i="4"/>
  <c r="H56" i="4"/>
  <c r="G56" i="4"/>
  <c r="F56" i="4"/>
  <c r="E56" i="4"/>
  <c r="D56" i="4"/>
  <c r="I55" i="4"/>
  <c r="H55" i="4"/>
  <c r="G55" i="4"/>
  <c r="F55" i="4"/>
  <c r="E55" i="4"/>
  <c r="D55" i="4"/>
  <c r="I53" i="4"/>
  <c r="H53" i="4"/>
  <c r="G53" i="4"/>
  <c r="F53" i="4"/>
  <c r="E53" i="4"/>
  <c r="D53" i="4"/>
  <c r="I39" i="4"/>
  <c r="H39" i="4"/>
  <c r="G39" i="4"/>
  <c r="F39" i="4"/>
  <c r="E39" i="4"/>
  <c r="D39" i="4"/>
  <c r="O46" i="4"/>
  <c r="N46" i="4"/>
  <c r="M46" i="4"/>
  <c r="I46" i="4"/>
  <c r="H46" i="4"/>
  <c r="G46" i="4"/>
  <c r="F46" i="4"/>
  <c r="E46" i="4"/>
  <c r="D46" i="4"/>
  <c r="E80" i="4" l="1"/>
  <c r="D14" i="4" l="1"/>
  <c r="E14" i="4"/>
  <c r="F14" i="4"/>
  <c r="G14" i="4"/>
  <c r="H14" i="4"/>
  <c r="I14" i="4"/>
  <c r="M14" i="4"/>
  <c r="N14" i="4"/>
  <c r="O14" i="4"/>
  <c r="I98" i="4"/>
  <c r="H98" i="4"/>
  <c r="G98" i="4"/>
  <c r="F98" i="4"/>
  <c r="E98" i="4"/>
  <c r="D98" i="4"/>
  <c r="I97" i="4"/>
  <c r="H97" i="4"/>
  <c r="G97" i="4"/>
  <c r="F97" i="4"/>
  <c r="E97" i="4"/>
  <c r="D97" i="4"/>
  <c r="I96" i="4"/>
  <c r="H96" i="4"/>
  <c r="G96" i="4"/>
  <c r="F96" i="4"/>
  <c r="E96" i="4"/>
  <c r="D96" i="4"/>
  <c r="I95" i="4"/>
  <c r="H95" i="4"/>
  <c r="G95" i="4"/>
  <c r="F95" i="4"/>
  <c r="E95" i="4"/>
  <c r="D95" i="4"/>
  <c r="I94" i="4"/>
  <c r="H94" i="4"/>
  <c r="G94" i="4"/>
  <c r="F94" i="4"/>
  <c r="E94" i="4"/>
  <c r="D94" i="4"/>
  <c r="I91" i="4"/>
  <c r="H91" i="4"/>
  <c r="G91" i="4"/>
  <c r="F91" i="4"/>
  <c r="E91" i="4"/>
  <c r="D91" i="4"/>
  <c r="O90" i="4"/>
  <c r="N90" i="4"/>
  <c r="M90" i="4"/>
  <c r="I90" i="4"/>
  <c r="H90" i="4"/>
  <c r="G90" i="4"/>
  <c r="F90" i="4"/>
  <c r="E90" i="4"/>
  <c r="D90" i="4"/>
  <c r="E89" i="4"/>
  <c r="D89" i="4"/>
  <c r="E88" i="4"/>
  <c r="I87" i="4"/>
  <c r="H87" i="4"/>
  <c r="G87" i="4"/>
  <c r="F87" i="4"/>
  <c r="E87" i="4"/>
  <c r="D87" i="4"/>
  <c r="O86" i="4"/>
  <c r="N86" i="4"/>
  <c r="M86" i="4"/>
  <c r="I86" i="4"/>
  <c r="H86" i="4"/>
  <c r="G86" i="4"/>
  <c r="F86" i="4"/>
  <c r="E86" i="4"/>
  <c r="D86" i="4"/>
  <c r="I85" i="4"/>
  <c r="H85" i="4"/>
  <c r="G85" i="4"/>
  <c r="F85" i="4"/>
  <c r="E85" i="4"/>
  <c r="D85" i="4"/>
  <c r="O82" i="4"/>
  <c r="N82" i="4"/>
  <c r="M82" i="4"/>
  <c r="I82" i="4"/>
  <c r="H82" i="4"/>
  <c r="G82" i="4"/>
  <c r="F82" i="4"/>
  <c r="E82" i="4"/>
  <c r="D82" i="4"/>
  <c r="O81" i="4"/>
  <c r="N81" i="4"/>
  <c r="M81" i="4"/>
  <c r="I81" i="4"/>
  <c r="H81" i="4"/>
  <c r="G81" i="4"/>
  <c r="F81" i="4"/>
  <c r="E81" i="4"/>
  <c r="D81" i="4"/>
  <c r="O80" i="4"/>
  <c r="N80" i="4"/>
  <c r="M80" i="4"/>
  <c r="I80" i="4"/>
  <c r="H80" i="4"/>
  <c r="G80" i="4"/>
  <c r="F80" i="4"/>
  <c r="D80" i="4"/>
  <c r="O79" i="4"/>
  <c r="N79" i="4"/>
  <c r="M79" i="4"/>
  <c r="K79" i="4"/>
  <c r="G79" i="4" s="1"/>
  <c r="O78" i="4"/>
  <c r="N78" i="4"/>
  <c r="M78" i="4"/>
  <c r="I78" i="4"/>
  <c r="H78" i="4"/>
  <c r="G78" i="4"/>
  <c r="F78" i="4"/>
  <c r="E78" i="4"/>
  <c r="D78" i="4"/>
  <c r="I77" i="4"/>
  <c r="H77" i="4"/>
  <c r="G77" i="4"/>
  <c r="F77" i="4"/>
  <c r="E77" i="4"/>
  <c r="D77" i="4"/>
  <c r="O76" i="4"/>
  <c r="N76" i="4"/>
  <c r="M76" i="4"/>
  <c r="I76" i="4"/>
  <c r="H76" i="4"/>
  <c r="G76" i="4"/>
  <c r="F76" i="4"/>
  <c r="E76" i="4"/>
  <c r="D76" i="4"/>
  <c r="O75" i="4"/>
  <c r="N75" i="4"/>
  <c r="M75" i="4"/>
  <c r="I75" i="4"/>
  <c r="H75" i="4"/>
  <c r="G75" i="4"/>
  <c r="F75" i="4"/>
  <c r="E75" i="4"/>
  <c r="D75" i="4"/>
  <c r="O73" i="4"/>
  <c r="N73" i="4"/>
  <c r="M73" i="4"/>
  <c r="I73" i="4"/>
  <c r="H73" i="4"/>
  <c r="G73" i="4"/>
  <c r="F73" i="4"/>
  <c r="E73" i="4"/>
  <c r="D73" i="4"/>
  <c r="O69" i="4"/>
  <c r="N69" i="4"/>
  <c r="M69" i="4"/>
  <c r="I69" i="4"/>
  <c r="H69" i="4"/>
  <c r="G69" i="4"/>
  <c r="F69" i="4"/>
  <c r="E69" i="4"/>
  <c r="D69" i="4"/>
  <c r="O68" i="4"/>
  <c r="N68" i="4"/>
  <c r="M68" i="4"/>
  <c r="I68" i="4"/>
  <c r="H68" i="4"/>
  <c r="G68" i="4"/>
  <c r="F68" i="4"/>
  <c r="E68" i="4"/>
  <c r="D68" i="4"/>
  <c r="O67" i="4"/>
  <c r="N67" i="4"/>
  <c r="M67" i="4"/>
  <c r="I67" i="4"/>
  <c r="H67" i="4"/>
  <c r="G67" i="4"/>
  <c r="F67" i="4"/>
  <c r="E67" i="4"/>
  <c r="D67" i="4"/>
  <c r="I65" i="4"/>
  <c r="H65" i="4"/>
  <c r="G65" i="4"/>
  <c r="F65" i="4"/>
  <c r="E65" i="4"/>
  <c r="D65" i="4"/>
  <c r="I64" i="4"/>
  <c r="H64" i="4"/>
  <c r="G64" i="4"/>
  <c r="F64" i="4"/>
  <c r="E64" i="4"/>
  <c r="D64" i="4"/>
  <c r="O63" i="4"/>
  <c r="N63" i="4"/>
  <c r="M63" i="4"/>
  <c r="I63" i="4"/>
  <c r="H63" i="4"/>
  <c r="G63" i="4"/>
  <c r="F63" i="4"/>
  <c r="E63" i="4"/>
  <c r="D63" i="4"/>
  <c r="I62" i="4"/>
  <c r="H62" i="4"/>
  <c r="G62" i="4"/>
  <c r="F62" i="4"/>
  <c r="E62" i="4"/>
  <c r="D62" i="4"/>
  <c r="I61" i="4"/>
  <c r="H61" i="4"/>
  <c r="G61" i="4"/>
  <c r="F61" i="4"/>
  <c r="E61" i="4"/>
  <c r="D61" i="4"/>
  <c r="I60" i="4"/>
  <c r="H60" i="4"/>
  <c r="G60" i="4"/>
  <c r="F60" i="4"/>
  <c r="E60" i="4"/>
  <c r="D60" i="4"/>
  <c r="I59" i="4"/>
  <c r="H59" i="4"/>
  <c r="G59" i="4"/>
  <c r="F59" i="4"/>
  <c r="E59" i="4"/>
  <c r="D59" i="4"/>
  <c r="I58" i="4"/>
  <c r="H58" i="4"/>
  <c r="G58" i="4"/>
  <c r="F58" i="4"/>
  <c r="E58" i="4"/>
  <c r="D58" i="4"/>
  <c r="I57" i="4"/>
  <c r="H57" i="4"/>
  <c r="G57" i="4"/>
  <c r="F57" i="4"/>
  <c r="E57" i="4"/>
  <c r="D57" i="4"/>
  <c r="G54" i="4"/>
  <c r="F54" i="4"/>
  <c r="E54" i="4"/>
  <c r="D54" i="4"/>
  <c r="O52" i="4"/>
  <c r="N52" i="4"/>
  <c r="M52" i="4"/>
  <c r="E52" i="4"/>
  <c r="D52" i="4"/>
  <c r="G51" i="4"/>
  <c r="F51" i="4"/>
  <c r="E51" i="4"/>
  <c r="D51" i="4"/>
  <c r="I50" i="4"/>
  <c r="H50" i="4"/>
  <c r="G50" i="4"/>
  <c r="F50" i="4"/>
  <c r="E50" i="4"/>
  <c r="D50" i="4"/>
  <c r="I49" i="4"/>
  <c r="H49" i="4"/>
  <c r="G49" i="4"/>
  <c r="F49" i="4"/>
  <c r="E49" i="4"/>
  <c r="D49" i="4"/>
  <c r="I48" i="4"/>
  <c r="H48" i="4"/>
  <c r="G48" i="4"/>
  <c r="F48" i="4"/>
  <c r="E48" i="4"/>
  <c r="D48" i="4"/>
  <c r="I47" i="4"/>
  <c r="H47" i="4"/>
  <c r="G47" i="4"/>
  <c r="F47" i="4"/>
  <c r="E47" i="4"/>
  <c r="D47" i="4"/>
  <c r="I45" i="4"/>
  <c r="H45" i="4"/>
  <c r="G45" i="4"/>
  <c r="F45" i="4"/>
  <c r="E45" i="4"/>
  <c r="D45" i="4"/>
  <c r="O44" i="4"/>
  <c r="N44" i="4"/>
  <c r="M44" i="4"/>
  <c r="I44" i="4"/>
  <c r="H44" i="4"/>
  <c r="G44" i="4"/>
  <c r="F44" i="4"/>
  <c r="E44" i="4"/>
  <c r="D44" i="4"/>
  <c r="I43" i="4"/>
  <c r="H43" i="4"/>
  <c r="G43" i="4"/>
  <c r="F43" i="4"/>
  <c r="E43" i="4"/>
  <c r="D43" i="4"/>
  <c r="O42" i="4"/>
  <c r="N42" i="4"/>
  <c r="M42" i="4"/>
  <c r="I42" i="4"/>
  <c r="H42" i="4"/>
  <c r="G42" i="4"/>
  <c r="F42" i="4"/>
  <c r="E42" i="4"/>
  <c r="D42" i="4"/>
  <c r="I41" i="4"/>
  <c r="H41" i="4"/>
  <c r="G41" i="4"/>
  <c r="F41" i="4"/>
  <c r="E41" i="4"/>
  <c r="D41" i="4"/>
  <c r="O40" i="4"/>
  <c r="N40" i="4"/>
  <c r="M40" i="4"/>
  <c r="I40" i="4"/>
  <c r="H40" i="4"/>
  <c r="G40" i="4"/>
  <c r="F40" i="4"/>
  <c r="E40" i="4"/>
  <c r="D40" i="4"/>
  <c r="O35" i="4"/>
  <c r="N35" i="4"/>
  <c r="M35" i="4"/>
  <c r="I35" i="4"/>
  <c r="H35" i="4"/>
  <c r="G35" i="4"/>
  <c r="F35" i="4"/>
  <c r="E35" i="4"/>
  <c r="D35" i="4"/>
  <c r="I34" i="4"/>
  <c r="H34" i="4"/>
  <c r="G34" i="4"/>
  <c r="F34" i="4"/>
  <c r="E34" i="4"/>
  <c r="D34" i="4"/>
  <c r="O33" i="4"/>
  <c r="N33" i="4"/>
  <c r="M33" i="4"/>
  <c r="I33" i="4"/>
  <c r="H33" i="4"/>
  <c r="G33" i="4"/>
  <c r="F33" i="4"/>
  <c r="E33" i="4"/>
  <c r="D33" i="4"/>
  <c r="I32" i="4"/>
  <c r="H32" i="4"/>
  <c r="G32" i="4"/>
  <c r="F32" i="4"/>
  <c r="E32" i="4"/>
  <c r="D32" i="4"/>
  <c r="O31" i="4"/>
  <c r="N31" i="4"/>
  <c r="M31" i="4"/>
  <c r="I31" i="4"/>
  <c r="H31" i="4"/>
  <c r="G31" i="4"/>
  <c r="F31" i="4"/>
  <c r="E31" i="4"/>
  <c r="D31" i="4"/>
  <c r="O30" i="4"/>
  <c r="N30" i="4"/>
  <c r="M30" i="4"/>
  <c r="G30" i="4"/>
  <c r="F30" i="4"/>
  <c r="E30" i="4"/>
  <c r="D30" i="4"/>
  <c r="O29" i="4"/>
  <c r="N29" i="4"/>
  <c r="M29" i="4"/>
  <c r="G29" i="4"/>
  <c r="F29" i="4"/>
  <c r="E29" i="4"/>
  <c r="D29" i="4"/>
  <c r="O28" i="4"/>
  <c r="N28" i="4"/>
  <c r="M28" i="4"/>
  <c r="I28" i="4"/>
  <c r="H28" i="4"/>
  <c r="G28" i="4"/>
  <c r="F28" i="4"/>
  <c r="E28" i="4"/>
  <c r="D28" i="4"/>
  <c r="O27" i="4"/>
  <c r="N27" i="4"/>
  <c r="M27" i="4"/>
  <c r="I27" i="4"/>
  <c r="H27" i="4"/>
  <c r="G27" i="4"/>
  <c r="F27" i="4"/>
  <c r="E27" i="4"/>
  <c r="D27" i="4"/>
  <c r="I26" i="4"/>
  <c r="H26" i="4"/>
  <c r="G26" i="4"/>
  <c r="F26" i="4"/>
  <c r="E26" i="4"/>
  <c r="D26" i="4"/>
  <c r="O25" i="4"/>
  <c r="N25" i="4"/>
  <c r="M25" i="4"/>
  <c r="I25" i="4"/>
  <c r="H25" i="4"/>
  <c r="G25" i="4"/>
  <c r="F25" i="4"/>
  <c r="E25" i="4"/>
  <c r="D25" i="4"/>
  <c r="O24" i="4"/>
  <c r="N24" i="4"/>
  <c r="M24" i="4"/>
  <c r="I24" i="4"/>
  <c r="H24" i="4"/>
  <c r="G24" i="4"/>
  <c r="F24" i="4"/>
  <c r="E24" i="4"/>
  <c r="D24" i="4"/>
  <c r="O23" i="4"/>
  <c r="N23" i="4"/>
  <c r="M23" i="4"/>
  <c r="I23" i="4"/>
  <c r="H23" i="4"/>
  <c r="G23" i="4"/>
  <c r="F23" i="4"/>
  <c r="E23" i="4"/>
  <c r="D23" i="4"/>
  <c r="O22" i="4"/>
  <c r="N22" i="4"/>
  <c r="M22" i="4"/>
  <c r="I22" i="4"/>
  <c r="H22" i="4"/>
  <c r="G22" i="4"/>
  <c r="F22" i="4"/>
  <c r="E22" i="4"/>
  <c r="D22" i="4"/>
  <c r="I21" i="4"/>
  <c r="H21" i="4"/>
  <c r="G21" i="4"/>
  <c r="F21" i="4"/>
  <c r="E21" i="4"/>
  <c r="D21" i="4"/>
  <c r="O20" i="4"/>
  <c r="N20" i="4"/>
  <c r="M20" i="4"/>
  <c r="I20" i="4"/>
  <c r="H20" i="4"/>
  <c r="G20" i="4"/>
  <c r="F20" i="4"/>
  <c r="E20" i="4"/>
  <c r="D20" i="4"/>
  <c r="O13" i="4"/>
  <c r="N13" i="4"/>
  <c r="M13" i="4"/>
  <c r="I13" i="4"/>
  <c r="H13" i="4"/>
  <c r="G13" i="4"/>
  <c r="F13" i="4"/>
  <c r="E13" i="4"/>
  <c r="D13" i="4"/>
  <c r="O12" i="4"/>
  <c r="N12" i="4"/>
  <c r="M12" i="4"/>
  <c r="I12" i="4"/>
  <c r="H12" i="4"/>
  <c r="G12" i="4"/>
  <c r="F12" i="4"/>
  <c r="E12" i="4"/>
  <c r="D12" i="4"/>
  <c r="O10" i="4"/>
  <c r="N10" i="4"/>
  <c r="M10" i="4"/>
  <c r="I10" i="4"/>
  <c r="H10" i="4"/>
  <c r="G10" i="4"/>
  <c r="F10" i="4"/>
  <c r="E10" i="4"/>
  <c r="D10" i="4"/>
  <c r="O9" i="4"/>
  <c r="N9" i="4"/>
  <c r="M9" i="4"/>
  <c r="I9" i="4"/>
  <c r="H9" i="4"/>
  <c r="G9" i="4"/>
  <c r="F9" i="4"/>
  <c r="E9" i="4"/>
  <c r="D9" i="4"/>
  <c r="O8" i="4"/>
  <c r="N8" i="4"/>
  <c r="M8" i="4"/>
  <c r="I8" i="4"/>
  <c r="H8" i="4"/>
  <c r="G8" i="4"/>
  <c r="F8" i="4"/>
  <c r="E8" i="4"/>
  <c r="D8" i="4"/>
  <c r="O7" i="4"/>
  <c r="N7" i="4"/>
  <c r="M7" i="4"/>
  <c r="I7" i="4"/>
  <c r="H7" i="4"/>
  <c r="G7" i="4"/>
  <c r="F7" i="4"/>
  <c r="E7" i="4"/>
  <c r="D7" i="4"/>
  <c r="I6" i="4"/>
  <c r="H6" i="4"/>
  <c r="G6" i="4"/>
  <c r="F6" i="4"/>
  <c r="E6" i="4"/>
  <c r="D6" i="4"/>
  <c r="D79" i="4" l="1"/>
  <c r="E79" i="4"/>
  <c r="F79" i="4"/>
  <c r="I79" i="4"/>
  <c r="H79" i="4"/>
  <c r="E18" i="3" l="1"/>
  <c r="B17" i="3"/>
  <c r="B14" i="3"/>
  <c r="C12" i="3"/>
  <c r="D12" i="3" s="1"/>
  <c r="F12" i="3" s="1"/>
  <c r="C11" i="3"/>
  <c r="D11" i="3" s="1"/>
  <c r="F11" i="3" s="1"/>
  <c r="C10" i="3"/>
  <c r="D10" i="3" s="1"/>
  <c r="F10" i="3" s="1"/>
  <c r="C9" i="3"/>
  <c r="D9" i="3" s="1"/>
  <c r="F9" i="3" s="1"/>
  <c r="C8" i="3"/>
  <c r="D8" i="3" s="1"/>
  <c r="F8" i="3" s="1"/>
  <c r="C7" i="3"/>
  <c r="B15" i="3"/>
  <c r="I324" i="1"/>
  <c r="H324" i="1"/>
  <c r="G324" i="1"/>
  <c r="F324" i="1"/>
  <c r="E324" i="1"/>
  <c r="D324" i="1"/>
  <c r="I323" i="1"/>
  <c r="H323" i="1"/>
  <c r="G323" i="1"/>
  <c r="F323" i="1"/>
  <c r="E323" i="1"/>
  <c r="D323" i="1"/>
  <c r="I322" i="1"/>
  <c r="H322" i="1"/>
  <c r="G322" i="1"/>
  <c r="F322" i="1"/>
  <c r="E322" i="1"/>
  <c r="D322" i="1"/>
  <c r="I321" i="1"/>
  <c r="H321" i="1"/>
  <c r="G321" i="1"/>
  <c r="F321" i="1"/>
  <c r="E321" i="1"/>
  <c r="D321" i="1"/>
  <c r="I320" i="1"/>
  <c r="H320" i="1"/>
  <c r="G320" i="1"/>
  <c r="F320" i="1"/>
  <c r="E320" i="1"/>
  <c r="D320" i="1"/>
  <c r="O316" i="1"/>
  <c r="N316" i="1"/>
  <c r="M316" i="1"/>
  <c r="E315" i="1"/>
  <c r="D315" i="1"/>
  <c r="E314" i="1"/>
  <c r="D7" i="3" l="1"/>
  <c r="F7" i="3" s="1"/>
  <c r="B16" i="3"/>
  <c r="B18" i="3" s="1"/>
  <c r="E1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 Faeldonea</author>
  </authors>
  <commentList>
    <comment ref="W8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Dealer Circular - New Rouser NS160 MY'22 
</t>
        </r>
      </text>
    </comment>
    <comment ref="Z12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PREVIOUS
MARKETING BULLETIN</t>
        </r>
      </text>
    </comment>
    <comment ref="Z12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PREVIOUS
MARKETING BULLETIN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 Faeldonea</author>
  </authors>
  <commentList>
    <comment ref="W88" authorId="0" shapeId="0" xr:uid="{D95DAF0C-473B-4E94-84DC-84FAA72EAF1E}">
      <text>
        <r>
          <rPr>
            <b/>
            <sz val="9"/>
            <color indexed="81"/>
            <rFont val="Tahoma"/>
            <family val="2"/>
          </rPr>
          <t xml:space="preserve">Dealer Circular - New Rouser NS160 MY'22 
</t>
        </r>
      </text>
    </comment>
    <comment ref="Z126" authorId="0" shapeId="0" xr:uid="{61C9C4B6-76FD-4D77-9242-6B426239B377}">
      <text>
        <r>
          <rPr>
            <b/>
            <sz val="9"/>
            <color indexed="81"/>
            <rFont val="Tahoma"/>
            <family val="2"/>
          </rPr>
          <t>PREVIOUS
MARKETING BULLETIN</t>
        </r>
      </text>
    </comment>
    <comment ref="Z129" authorId="0" shapeId="0" xr:uid="{5A5E2D05-4694-49DD-B3C9-85E862D20C2C}">
      <text>
        <r>
          <rPr>
            <b/>
            <sz val="9"/>
            <color indexed="81"/>
            <rFont val="Tahoma"/>
            <family val="2"/>
          </rPr>
          <t>PREVIOUS
MARKETING BULLETIN</t>
        </r>
      </text>
    </comment>
  </commentList>
</comments>
</file>

<file path=xl/sharedStrings.xml><?xml version="1.0" encoding="utf-8"?>
<sst xmlns="http://schemas.openxmlformats.org/spreadsheetml/2006/main" count="1782" uniqueCount="736">
  <si>
    <t>D.Price</t>
  </si>
  <si>
    <t>COD</t>
  </si>
  <si>
    <t>LCP</t>
  </si>
  <si>
    <t>30 Days</t>
  </si>
  <si>
    <t>60 Days</t>
  </si>
  <si>
    <t>90 Days</t>
  </si>
  <si>
    <t>I.R. ( + )</t>
  </si>
  <si>
    <t>Rebate</t>
  </si>
  <si>
    <t>BELOW</t>
  </si>
  <si>
    <t>SUZUKI</t>
  </si>
  <si>
    <t>GD110</t>
  </si>
  <si>
    <t>KAWASAKI</t>
  </si>
  <si>
    <t>Barako 175 Kick</t>
  </si>
  <si>
    <t>Barako 175 Elect./ Barako II</t>
  </si>
  <si>
    <t>Boxer 150 (Boxer)</t>
  </si>
  <si>
    <t>CT 100</t>
  </si>
  <si>
    <t>Fury 125</t>
  </si>
  <si>
    <t>Aura Classic 125</t>
  </si>
  <si>
    <t>D Trackers 150</t>
  </si>
  <si>
    <t>KLX 150 (24 mos. ONLY)</t>
  </si>
  <si>
    <t>Rouser 200</t>
  </si>
  <si>
    <t>Rouser 220</t>
  </si>
  <si>
    <t>HONDA</t>
  </si>
  <si>
    <t>XR200</t>
  </si>
  <si>
    <t>XRM125 Dual Sport (CFT125MA)</t>
  </si>
  <si>
    <t>XRM125 Off Road (CFT125KRA)</t>
  </si>
  <si>
    <t>YAMAHA</t>
  </si>
  <si>
    <t>FZ 16</t>
  </si>
  <si>
    <t>SZ16</t>
  </si>
  <si>
    <t>Crypton Z</t>
  </si>
  <si>
    <t>Vega 115 Disk</t>
  </si>
  <si>
    <t>Vega Drum</t>
  </si>
  <si>
    <t>Vega Force</t>
  </si>
  <si>
    <t>Mio 125MX</t>
  </si>
  <si>
    <t>Mio Fino</t>
  </si>
  <si>
    <t>Mio Fino Fashion</t>
  </si>
  <si>
    <t>Mio Soul</t>
  </si>
  <si>
    <t>Sniper MX</t>
  </si>
  <si>
    <t>Nouvo Z</t>
  </si>
  <si>
    <t>YBR 125</t>
  </si>
  <si>
    <t>ASIASTAR</t>
  </si>
  <si>
    <t>I.R.</t>
  </si>
  <si>
    <t>RS110F 2JC1</t>
  </si>
  <si>
    <t>KSR110 (24 mos. ONLY) 50%DP</t>
  </si>
  <si>
    <r>
      <t xml:space="preserve">Vega Force_ </t>
    </r>
    <r>
      <rPr>
        <i/>
        <sz val="9"/>
        <rFont val="Arial"/>
        <family val="2"/>
      </rPr>
      <t>i</t>
    </r>
  </si>
  <si>
    <r>
      <t>Mio Soul_</t>
    </r>
    <r>
      <rPr>
        <i/>
        <sz val="9"/>
        <rFont val="Arial"/>
        <family val="2"/>
      </rPr>
      <t>fi</t>
    </r>
  </si>
  <si>
    <t>MIO125MXi (2HD1)</t>
  </si>
  <si>
    <t>BRAND/MODEL</t>
  </si>
  <si>
    <t>Rouser 180</t>
  </si>
  <si>
    <t>XRM125 Motard (CFT125MRCA)</t>
  </si>
  <si>
    <t>XR125</t>
  </si>
  <si>
    <t>Sniper MX FI (1RP5)</t>
  </si>
  <si>
    <t>CBF110</t>
  </si>
  <si>
    <t>CBR150 (24 mos)</t>
  </si>
  <si>
    <t>CBR250 (12 mos)</t>
  </si>
  <si>
    <t>CB125CL(Kick Starter)</t>
  </si>
  <si>
    <t>CB125CL(Kick/Electric Start)</t>
  </si>
  <si>
    <t>TMX155</t>
  </si>
  <si>
    <t>SCOOPY110</t>
  </si>
  <si>
    <t>BEAT110 Alloy</t>
  </si>
  <si>
    <t>WAVE100 (Drum)</t>
  </si>
  <si>
    <t>WAVE100 (Disk)</t>
  </si>
  <si>
    <t>WAVE125</t>
  </si>
  <si>
    <t>WAVE Dash 110</t>
  </si>
  <si>
    <t>HAYATE125</t>
  </si>
  <si>
    <t>HAYATE125 FI</t>
  </si>
  <si>
    <t>MOLA125</t>
  </si>
  <si>
    <t>NEX115</t>
  </si>
  <si>
    <t>RAIDER150 (FU150SCD2)</t>
  </si>
  <si>
    <t>RAIDERJ110 (Mags)</t>
  </si>
  <si>
    <t>RAIDERJ110 (Pro)</t>
  </si>
  <si>
    <t>RAIDERJ110 (SD)</t>
  </si>
  <si>
    <t>SHOGUN PRO (FL125)</t>
  </si>
  <si>
    <t>SHOOTER FI (Mags/FV110LE)</t>
  </si>
  <si>
    <t>SHOOTER FI (Spoke/FV110LA)</t>
  </si>
  <si>
    <t>SKYDRIVE (UK125)</t>
  </si>
  <si>
    <t>SMASH115 (Mags)</t>
  </si>
  <si>
    <t>STEP125 (Spoke)</t>
  </si>
  <si>
    <t>THUNDER125</t>
  </si>
  <si>
    <t>CRF250LD (24 mos)</t>
  </si>
  <si>
    <t>DP</t>
  </si>
  <si>
    <t>RAIDERJ115LB FI (Spoke)</t>
  </si>
  <si>
    <t>TMX150 SUPREMO (TMXS2)</t>
  </si>
  <si>
    <t>CFT125MSE (Dual Sport)</t>
  </si>
  <si>
    <t>CFT125MRCE (Motard)</t>
  </si>
  <si>
    <t>XRM RS125 (ZN125MB)</t>
  </si>
  <si>
    <t>ACG110CSF (Zoomer X)</t>
  </si>
  <si>
    <t>Curve (SC115A)</t>
  </si>
  <si>
    <t>ANF125 (Wave Alpha/Cast/Disk)</t>
  </si>
  <si>
    <t>AFP110SCD (Wave Dash 110)</t>
  </si>
  <si>
    <t>BEAT110 CSF (Cast)</t>
  </si>
  <si>
    <t>CBF110MSE</t>
  </si>
  <si>
    <t>ACG110CSFF (Zoomer X DISK-BRAKE)</t>
  </si>
  <si>
    <r>
      <t>Mio Fino</t>
    </r>
    <r>
      <rPr>
        <i/>
        <sz val="9"/>
        <rFont val="Arial"/>
        <family val="2"/>
      </rPr>
      <t>_</t>
    </r>
    <r>
      <rPr>
        <b/>
        <i/>
        <sz val="9"/>
        <rFont val="Arial"/>
        <family val="2"/>
      </rPr>
      <t xml:space="preserve">i </t>
    </r>
    <r>
      <rPr>
        <i/>
        <sz val="9"/>
        <rFont val="Arial"/>
        <family val="2"/>
      </rPr>
      <t>(B431)</t>
    </r>
  </si>
  <si>
    <t>Avenger 220</t>
  </si>
  <si>
    <t>BUFFALO 150</t>
  </si>
  <si>
    <t>BUFFALO SPORT 250</t>
  </si>
  <si>
    <t>TRICITY (2CMF00)</t>
  </si>
  <si>
    <t>Rouser 200 NS BR200A (NEW)</t>
  </si>
  <si>
    <t>STX 125 (34C6)</t>
  </si>
  <si>
    <t>ACG110CBFF (Zoomer X COMBI)</t>
  </si>
  <si>
    <r>
      <t>BeAT_</t>
    </r>
    <r>
      <rPr>
        <b/>
        <i/>
        <sz val="9"/>
        <rFont val="Arial"/>
        <family val="2"/>
      </rPr>
      <t>fi</t>
    </r>
    <r>
      <rPr>
        <i/>
        <sz val="9"/>
        <rFont val="Arial"/>
        <family val="2"/>
      </rPr>
      <t xml:space="preserve"> Cast (</t>
    </r>
    <r>
      <rPr>
        <sz val="9"/>
        <rFont val="Arial"/>
        <family val="2"/>
      </rPr>
      <t>ACH110CSFF</t>
    </r>
    <r>
      <rPr>
        <i/>
        <sz val="9"/>
        <rFont val="Arial"/>
        <family val="2"/>
      </rPr>
      <t>)</t>
    </r>
  </si>
  <si>
    <t>AX4 (GA150DAJ)</t>
  </si>
  <si>
    <t>GIXXER (GSX150DEA)</t>
  </si>
  <si>
    <r>
      <t xml:space="preserve">SZ </t>
    </r>
    <r>
      <rPr>
        <b/>
        <sz val="9"/>
        <rFont val="Arial"/>
        <family val="2"/>
      </rPr>
      <t>(BE91)</t>
    </r>
  </si>
  <si>
    <t>YZF-R15 (BD7200) Movistar 50%DP</t>
  </si>
  <si>
    <t>RS150 (FS150RG) 50% DP</t>
  </si>
  <si>
    <r>
      <t>Sniper 150 MX_</t>
    </r>
    <r>
      <rPr>
        <b/>
        <i/>
        <sz val="9"/>
        <rFont val="Arial"/>
        <family val="2"/>
      </rPr>
      <t>i (B18100) 50% DP</t>
    </r>
  </si>
  <si>
    <r>
      <t>Sniper150MX_</t>
    </r>
    <r>
      <rPr>
        <b/>
        <i/>
        <sz val="9"/>
        <rFont val="Arial"/>
        <family val="2"/>
      </rPr>
      <t>i(B18100)50%DP</t>
    </r>
    <r>
      <rPr>
        <b/>
        <sz val="7"/>
        <rFont val="Arial"/>
        <family val="2"/>
      </rPr>
      <t>MOVISTAR</t>
    </r>
  </si>
  <si>
    <r>
      <t xml:space="preserve">NMAX(2DP5) </t>
    </r>
    <r>
      <rPr>
        <b/>
        <sz val="9"/>
        <rFont val="Arial"/>
        <family val="2"/>
      </rPr>
      <t>50%DP</t>
    </r>
  </si>
  <si>
    <r>
      <t xml:space="preserve">Rouser 150 </t>
    </r>
    <r>
      <rPr>
        <b/>
        <sz val="9"/>
        <rFont val="Arial"/>
        <family val="2"/>
      </rPr>
      <t xml:space="preserve">(NS150) </t>
    </r>
    <r>
      <rPr>
        <sz val="9"/>
        <rFont val="Arial"/>
        <family val="2"/>
      </rPr>
      <t xml:space="preserve">Higher DP </t>
    </r>
    <r>
      <rPr>
        <i/>
        <sz val="9"/>
        <rFont val="Arial"/>
        <family val="2"/>
      </rPr>
      <t>NEW</t>
    </r>
  </si>
  <si>
    <t>:</t>
  </si>
  <si>
    <t>BALANCE</t>
  </si>
  <si>
    <t>PRONOTE</t>
  </si>
  <si>
    <t>Term</t>
  </si>
  <si>
    <t>MA</t>
  </si>
  <si>
    <t>Total</t>
  </si>
  <si>
    <t>AOC</t>
  </si>
  <si>
    <t>Total Price</t>
  </si>
  <si>
    <t xml:space="preserve">FN </t>
  </si>
  <si>
    <t>PN</t>
  </si>
  <si>
    <t>BONUS</t>
  </si>
  <si>
    <t>TOTAL</t>
  </si>
  <si>
    <t>COM</t>
  </si>
  <si>
    <t>INV PRICE</t>
  </si>
  <si>
    <t>PROMO</t>
  </si>
  <si>
    <t>Price Diff</t>
  </si>
  <si>
    <t>SUS ACCT</t>
  </si>
  <si>
    <t>UFI</t>
  </si>
  <si>
    <r>
      <t xml:space="preserve">RS150 </t>
    </r>
    <r>
      <rPr>
        <b/>
        <i/>
        <sz val="9"/>
        <rFont val="Arial"/>
        <family val="2"/>
      </rPr>
      <t>REPSOL</t>
    </r>
    <r>
      <rPr>
        <sz val="9"/>
        <rFont val="Arial"/>
        <family val="2"/>
      </rPr>
      <t xml:space="preserve"> (FS150RG ) 50% DP</t>
    </r>
  </si>
  <si>
    <r>
      <t>CBR150</t>
    </r>
    <r>
      <rPr>
        <b/>
        <sz val="9"/>
        <rFont val="Arial"/>
        <family val="2"/>
      </rPr>
      <t>R(CBR150RH)50%</t>
    </r>
  </si>
  <si>
    <r>
      <t>TFX150(</t>
    </r>
    <r>
      <rPr>
        <b/>
        <sz val="9"/>
        <rFont val="Arial"/>
        <family val="2"/>
      </rPr>
      <t>BY61</t>
    </r>
    <r>
      <rPr>
        <sz val="9"/>
        <rFont val="Arial"/>
        <family val="2"/>
      </rPr>
      <t xml:space="preserve">) </t>
    </r>
    <r>
      <rPr>
        <b/>
        <i/>
        <sz val="9"/>
        <rFont val="Arial"/>
        <family val="2"/>
      </rPr>
      <t>50% DP</t>
    </r>
  </si>
  <si>
    <r>
      <t>RAIDER150 (</t>
    </r>
    <r>
      <rPr>
        <b/>
        <sz val="9"/>
        <rFont val="Arial"/>
        <family val="2"/>
      </rPr>
      <t>FU150DX2-MBLACK</t>
    </r>
    <r>
      <rPr>
        <sz val="9"/>
        <rFont val="Arial"/>
        <family val="2"/>
      </rPr>
      <t>)</t>
    </r>
    <r>
      <rPr>
        <b/>
        <sz val="9"/>
        <rFont val="Arial"/>
        <family val="2"/>
      </rPr>
      <t xml:space="preserve">NEW </t>
    </r>
  </si>
  <si>
    <r>
      <t xml:space="preserve">RAIDERJ115LE </t>
    </r>
    <r>
      <rPr>
        <b/>
        <sz val="9"/>
        <rFont val="Arial"/>
        <family val="2"/>
      </rPr>
      <t>MBLACK</t>
    </r>
    <r>
      <rPr>
        <sz val="9"/>
        <rFont val="Arial"/>
        <family val="2"/>
      </rPr>
      <t xml:space="preserve"> (Mags) </t>
    </r>
    <r>
      <rPr>
        <b/>
        <sz val="9"/>
        <rFont val="Arial"/>
        <family val="2"/>
      </rPr>
      <t>NEW</t>
    </r>
  </si>
  <si>
    <r>
      <t xml:space="preserve">Rouser </t>
    </r>
    <r>
      <rPr>
        <b/>
        <sz val="9"/>
        <rFont val="Arial"/>
        <family val="2"/>
      </rPr>
      <t>RS</t>
    </r>
    <r>
      <rPr>
        <sz val="9"/>
        <rFont val="Arial"/>
        <family val="2"/>
      </rPr>
      <t xml:space="preserve"> 200 (</t>
    </r>
    <r>
      <rPr>
        <b/>
        <i/>
        <sz val="9"/>
        <rFont val="Arial"/>
        <family val="2"/>
      </rPr>
      <t>NEW 2017 ) 50%DP</t>
    </r>
  </si>
  <si>
    <r>
      <t xml:space="preserve">Rouser 200 </t>
    </r>
    <r>
      <rPr>
        <b/>
        <sz val="9"/>
        <rFont val="Arial"/>
        <family val="2"/>
      </rPr>
      <t>NS</t>
    </r>
    <r>
      <rPr>
        <sz val="9"/>
        <rFont val="Arial"/>
        <family val="2"/>
      </rPr>
      <t xml:space="preserve"> (</t>
    </r>
    <r>
      <rPr>
        <b/>
        <i/>
        <sz val="9"/>
        <rFont val="Arial"/>
        <family val="2"/>
      </rPr>
      <t>NEW 2017 ) 50%DP</t>
    </r>
  </si>
  <si>
    <r>
      <t>CRF250RL (</t>
    </r>
    <r>
      <rPr>
        <b/>
        <sz val="9"/>
        <rFont val="Arial"/>
        <family val="2"/>
      </rPr>
      <t>CRF250RLH</t>
    </r>
    <r>
      <rPr>
        <sz val="9"/>
        <rFont val="Arial"/>
        <family val="2"/>
      </rPr>
      <t xml:space="preserve">) (24 mos) </t>
    </r>
    <r>
      <rPr>
        <b/>
        <sz val="9"/>
        <rFont val="Arial"/>
        <family val="2"/>
      </rPr>
      <t>50%</t>
    </r>
  </si>
  <si>
    <r>
      <t>RAIDER150 (FU150SCD2)</t>
    </r>
    <r>
      <rPr>
        <b/>
        <sz val="8"/>
        <rFont val="Arial"/>
        <family val="2"/>
      </rPr>
      <t>RELO&amp;MGP ED.</t>
    </r>
  </si>
  <si>
    <r>
      <t>TFX150(</t>
    </r>
    <r>
      <rPr>
        <b/>
        <sz val="9"/>
        <rFont val="Arial"/>
        <family val="2"/>
      </rPr>
      <t>BY62</t>
    </r>
    <r>
      <rPr>
        <sz val="9"/>
        <rFont val="Arial"/>
        <family val="2"/>
      </rPr>
      <t xml:space="preserve">) </t>
    </r>
    <r>
      <rPr>
        <b/>
        <i/>
        <sz val="9"/>
        <rFont val="Arial"/>
        <family val="2"/>
      </rPr>
      <t>50% DP NEW</t>
    </r>
  </si>
  <si>
    <t>GSX - R150  50% DP</t>
  </si>
  <si>
    <t>GSX - S150  50% DP</t>
  </si>
  <si>
    <t>YZF-R15 (B1C2) Movistar 50%DP</t>
  </si>
  <si>
    <r>
      <t xml:space="preserve">MIO AEROX155 </t>
    </r>
    <r>
      <rPr>
        <b/>
        <sz val="9"/>
        <rFont val="Arial"/>
        <family val="2"/>
      </rPr>
      <t>(BG24)MOVISTAR</t>
    </r>
  </si>
  <si>
    <r>
      <t>SKYDRIVE125_</t>
    </r>
    <r>
      <rPr>
        <i/>
        <sz val="9"/>
        <rFont val="Arial"/>
        <family val="2"/>
      </rPr>
      <t>fi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UK125FSC</t>
    </r>
    <r>
      <rPr>
        <sz val="9"/>
        <rFont val="Arial"/>
        <family val="2"/>
      </rPr>
      <t>)</t>
    </r>
  </si>
  <si>
    <r>
      <t>CFT125MRJ (</t>
    </r>
    <r>
      <rPr>
        <b/>
        <i/>
        <sz val="9"/>
        <rFont val="Arial"/>
        <family val="2"/>
      </rPr>
      <t>RALLY</t>
    </r>
    <r>
      <rPr>
        <sz val="9"/>
        <rFont val="Arial"/>
        <family val="2"/>
      </rPr>
      <t xml:space="preserve"> )</t>
    </r>
  </si>
  <si>
    <t>XR150L (XR150LEKE/LEKJ)</t>
  </si>
  <si>
    <r>
      <t>RAIDERJ115LE FI (</t>
    </r>
    <r>
      <rPr>
        <b/>
        <sz val="9"/>
        <rFont val="Arial"/>
        <family val="2"/>
      </rPr>
      <t>MAGS</t>
    </r>
    <r>
      <rPr>
        <sz val="9"/>
        <rFont val="Arial"/>
        <family val="2"/>
      </rPr>
      <t>)</t>
    </r>
  </si>
  <si>
    <r>
      <t>GIXXER (GSX150</t>
    </r>
    <r>
      <rPr>
        <b/>
        <sz val="9"/>
        <rFont val="Arial"/>
        <family val="2"/>
      </rPr>
      <t>RZA_</t>
    </r>
    <r>
      <rPr>
        <b/>
        <i/>
        <sz val="9"/>
        <rFont val="Arial"/>
        <family val="2"/>
      </rPr>
      <t>fi</t>
    </r>
    <r>
      <rPr>
        <sz val="9"/>
        <rFont val="Arial"/>
        <family val="2"/>
      </rPr>
      <t>)</t>
    </r>
  </si>
  <si>
    <r>
      <t>RAIDERJ115</t>
    </r>
    <r>
      <rPr>
        <b/>
        <sz val="9"/>
        <rFont val="Arial"/>
        <family val="2"/>
      </rPr>
      <t>LX MBLACK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Spokes</t>
    </r>
    <r>
      <rPr>
        <sz val="9"/>
        <rFont val="Arial"/>
        <family val="2"/>
      </rPr>
      <t>)</t>
    </r>
    <r>
      <rPr>
        <b/>
        <sz val="9"/>
        <rFont val="Arial"/>
        <family val="2"/>
      </rPr>
      <t>NEW</t>
    </r>
  </si>
  <si>
    <r>
      <t>RAIDERJ115</t>
    </r>
    <r>
      <rPr>
        <b/>
        <sz val="9"/>
        <rFont val="Arial"/>
        <family val="2"/>
      </rPr>
      <t>LX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MOTO GP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Mags</t>
    </r>
    <r>
      <rPr>
        <sz val="9"/>
        <rFont val="Arial"/>
        <family val="2"/>
      </rPr>
      <t xml:space="preserve">) </t>
    </r>
    <r>
      <rPr>
        <b/>
        <sz val="9"/>
        <rFont val="Arial"/>
        <family val="2"/>
      </rPr>
      <t>NEW</t>
    </r>
  </si>
  <si>
    <r>
      <t xml:space="preserve">CB150 </t>
    </r>
    <r>
      <rPr>
        <b/>
        <sz val="8"/>
        <rFont val="Arial"/>
        <family val="2"/>
      </rPr>
      <t>RH (CB150R STREETFIRE)50% OLD</t>
    </r>
  </si>
  <si>
    <r>
      <t>CB150</t>
    </r>
    <r>
      <rPr>
        <b/>
        <sz val="8"/>
        <rFont val="Arial"/>
        <family val="2"/>
      </rPr>
      <t>R (CB150R STREETFIRE)50% NEW</t>
    </r>
  </si>
  <si>
    <t>DATE</t>
  </si>
  <si>
    <r>
      <t>CRF150LH (</t>
    </r>
    <r>
      <rPr>
        <b/>
        <sz val="9"/>
        <rFont val="Arial"/>
        <family val="2"/>
      </rPr>
      <t>CRF150LH</t>
    </r>
    <r>
      <rPr>
        <sz val="9"/>
        <rFont val="Arial"/>
        <family val="2"/>
      </rPr>
      <t xml:space="preserve">) </t>
    </r>
    <r>
      <rPr>
        <b/>
        <sz val="9"/>
        <rFont val="Arial"/>
        <family val="2"/>
      </rPr>
      <t>50%</t>
    </r>
  </si>
  <si>
    <r>
      <t>RAIDERJ115</t>
    </r>
    <r>
      <rPr>
        <b/>
        <sz val="9"/>
        <rFont val="Arial"/>
        <family val="2"/>
      </rPr>
      <t>LX ABLUE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Spokes</t>
    </r>
    <r>
      <rPr>
        <sz val="9"/>
        <rFont val="Arial"/>
        <family val="2"/>
      </rPr>
      <t>)</t>
    </r>
    <r>
      <rPr>
        <b/>
        <sz val="9"/>
        <rFont val="Arial"/>
        <family val="2"/>
      </rPr>
      <t>NEW</t>
    </r>
  </si>
  <si>
    <t>08/23/18</t>
  </si>
  <si>
    <t>08/24/18</t>
  </si>
  <si>
    <t>ACB150CBTHII (CLICK 150_i)</t>
  </si>
  <si>
    <t>CFT125MSJ DUAL SPORT(PGM-Fi)</t>
  </si>
  <si>
    <r>
      <t>CFT125</t>
    </r>
    <r>
      <rPr>
        <b/>
        <i/>
        <sz val="9"/>
        <rFont val="Arial"/>
        <family val="2"/>
      </rPr>
      <t>MRCJ</t>
    </r>
    <r>
      <rPr>
        <sz val="9"/>
        <rFont val="Arial"/>
        <family val="2"/>
      </rPr>
      <t xml:space="preserve"> (</t>
    </r>
    <r>
      <rPr>
        <b/>
        <i/>
        <sz val="9"/>
        <rFont val="Arial"/>
        <family val="2"/>
      </rPr>
      <t>Motard</t>
    </r>
    <r>
      <rPr>
        <sz val="9"/>
        <rFont val="Arial"/>
        <family val="2"/>
      </rPr>
      <t>)</t>
    </r>
  </si>
  <si>
    <t>08/25/18</t>
  </si>
  <si>
    <r>
      <t xml:space="preserve">WAVE125 </t>
    </r>
    <r>
      <rPr>
        <sz val="8"/>
        <rFont val="Arial"/>
        <family val="2"/>
      </rPr>
      <t>ALPHA CAST/DISC(</t>
    </r>
    <r>
      <rPr>
        <b/>
        <sz val="8"/>
        <rFont val="Arial"/>
        <family val="2"/>
      </rPr>
      <t>ANF125MWHF)</t>
    </r>
  </si>
  <si>
    <t>08/27/18</t>
  </si>
  <si>
    <r>
      <t>ACG110</t>
    </r>
    <r>
      <rPr>
        <b/>
        <i/>
        <sz val="8"/>
        <rFont val="Arial"/>
        <family val="2"/>
      </rPr>
      <t>CBTG/CBTH/CBTJ</t>
    </r>
    <r>
      <rPr>
        <sz val="9"/>
        <rFont val="Arial"/>
        <family val="2"/>
      </rPr>
      <t>(ZoomerX)NEW</t>
    </r>
  </si>
  <si>
    <r>
      <t>CBR150</t>
    </r>
    <r>
      <rPr>
        <b/>
        <sz val="9"/>
        <rFont val="Arial"/>
        <family val="2"/>
      </rPr>
      <t>R REPSOL (CBR150RHIII/RJIII)50%</t>
    </r>
  </si>
  <si>
    <r>
      <rPr>
        <b/>
        <sz val="9"/>
        <rFont val="Arial"/>
        <family val="2"/>
      </rPr>
      <t>AFS110MDE</t>
    </r>
    <r>
      <rPr>
        <sz val="9"/>
        <rFont val="Arial"/>
        <family val="2"/>
      </rPr>
      <t xml:space="preserve"> (Wave Alpha/Spoke/Drum)</t>
    </r>
  </si>
  <si>
    <r>
      <rPr>
        <b/>
        <i/>
        <sz val="9"/>
        <rFont val="Arial"/>
        <family val="2"/>
      </rPr>
      <t>AFS110MCDE</t>
    </r>
    <r>
      <rPr>
        <sz val="9"/>
        <rFont val="Arial"/>
        <family val="2"/>
      </rPr>
      <t xml:space="preserve"> (Wave Alpha/Cast/Drum)</t>
    </r>
  </si>
  <si>
    <r>
      <t>RAIDER150 (</t>
    </r>
    <r>
      <rPr>
        <b/>
        <sz val="7"/>
        <rFont val="Arial"/>
        <family val="2"/>
      </rPr>
      <t>FU150DX3-MBLK/MGRY</t>
    </r>
    <r>
      <rPr>
        <sz val="7"/>
        <rFont val="Arial"/>
        <family val="2"/>
      </rPr>
      <t>)</t>
    </r>
    <r>
      <rPr>
        <b/>
        <sz val="7"/>
        <rFont val="Arial"/>
        <family val="2"/>
      </rPr>
      <t>COMBAT</t>
    </r>
  </si>
  <si>
    <r>
      <t>Sniper 150 MX_</t>
    </r>
    <r>
      <rPr>
        <b/>
        <i/>
        <sz val="9"/>
        <rFont val="Arial"/>
        <family val="2"/>
      </rPr>
      <t xml:space="preserve"> (B184/B187) 50% DP new</t>
    </r>
  </si>
  <si>
    <t>10/05/18</t>
  </si>
  <si>
    <r>
      <t>NMAX(</t>
    </r>
    <r>
      <rPr>
        <b/>
        <i/>
        <sz val="9"/>
        <rFont val="Arial"/>
        <family val="2"/>
      </rPr>
      <t>2DPA/2DPF</t>
    </r>
    <r>
      <rPr>
        <sz val="9"/>
        <rFont val="Arial"/>
        <family val="2"/>
      </rPr>
      <t xml:space="preserve">) </t>
    </r>
    <r>
      <rPr>
        <b/>
        <sz val="9"/>
        <rFont val="Arial"/>
        <family val="2"/>
      </rPr>
      <t>50%DP</t>
    </r>
  </si>
  <si>
    <t>10/06/18</t>
  </si>
  <si>
    <r>
      <t xml:space="preserve">MIO AEROX155 </t>
    </r>
    <r>
      <rPr>
        <b/>
        <sz val="9"/>
        <rFont val="Arial"/>
        <family val="2"/>
      </rPr>
      <t>(BG21 / BG25 /B1W2 )</t>
    </r>
  </si>
  <si>
    <t>10/22/18</t>
  </si>
  <si>
    <t>10/30/18</t>
  </si>
  <si>
    <r>
      <t>RS150 (</t>
    </r>
    <r>
      <rPr>
        <b/>
        <sz val="9"/>
        <rFont val="Arial"/>
        <family val="2"/>
      </rPr>
      <t>FS150RH III / FS150RK</t>
    </r>
    <r>
      <rPr>
        <sz val="9"/>
        <rFont val="Arial"/>
        <family val="2"/>
      </rPr>
      <t xml:space="preserve"> ) 50% DP</t>
    </r>
  </si>
  <si>
    <t>11/15/18</t>
  </si>
  <si>
    <r>
      <t>Sniper 150 MX</t>
    </r>
    <r>
      <rPr>
        <b/>
        <i/>
        <sz val="9"/>
        <rFont val="Arial"/>
        <family val="2"/>
      </rPr>
      <t xml:space="preserve">(B185 / B188) 50% </t>
    </r>
    <r>
      <rPr>
        <b/>
        <sz val="6"/>
        <rFont val="Arial"/>
        <family val="2"/>
      </rPr>
      <t xml:space="preserve">MOVISTAR </t>
    </r>
  </si>
  <si>
    <t>11/16/18</t>
  </si>
  <si>
    <t>YTX  125 (BR21)</t>
  </si>
  <si>
    <r>
      <t>YZF-R3 (</t>
    </r>
    <r>
      <rPr>
        <b/>
        <sz val="9"/>
        <rFont val="Arial"/>
        <family val="2"/>
      </rPr>
      <t>2YP300 / 2YPN</t>
    </r>
    <r>
      <rPr>
        <sz val="9"/>
        <rFont val="Arial"/>
        <family val="2"/>
      </rPr>
      <t>) (24mos ONLY) 50%</t>
    </r>
  </si>
  <si>
    <t>YZF-R15 (BD7100 / BD74)</t>
  </si>
  <si>
    <t>11/17/18</t>
  </si>
  <si>
    <r>
      <t xml:space="preserve">MIO AEROX (B1W4) </t>
    </r>
    <r>
      <rPr>
        <b/>
        <i/>
        <sz val="9"/>
        <rFont val="Arial"/>
        <family val="2"/>
      </rPr>
      <t>NEW 50%DP</t>
    </r>
  </si>
  <si>
    <t>YZF-R15 (B1C5) Movistar 50%DP NEW</t>
  </si>
  <si>
    <r>
      <rPr>
        <b/>
        <sz val="9"/>
        <rFont val="Arial"/>
        <family val="2"/>
      </rPr>
      <t>AFS110MDJ</t>
    </r>
    <r>
      <rPr>
        <sz val="9"/>
        <rFont val="Arial"/>
        <family val="2"/>
      </rPr>
      <t xml:space="preserve"> (Wave Alpha/Spoke)</t>
    </r>
  </si>
  <si>
    <r>
      <t>CRF150LK (</t>
    </r>
    <r>
      <rPr>
        <b/>
        <sz val="9"/>
        <rFont val="Arial"/>
        <family val="2"/>
      </rPr>
      <t>CRF150LK</t>
    </r>
    <r>
      <rPr>
        <sz val="9"/>
        <rFont val="Arial"/>
        <family val="2"/>
      </rPr>
      <t xml:space="preserve">) </t>
    </r>
    <r>
      <rPr>
        <b/>
        <sz val="9"/>
        <rFont val="Arial"/>
        <family val="2"/>
      </rPr>
      <t>50% NEW</t>
    </r>
  </si>
  <si>
    <r>
      <t>RS150R (</t>
    </r>
    <r>
      <rPr>
        <b/>
        <sz val="9"/>
        <rFont val="Arial"/>
        <family val="2"/>
      </rPr>
      <t>FS150RJII / FS150RKII</t>
    </r>
    <r>
      <rPr>
        <sz val="9"/>
        <rFont val="Arial"/>
        <family val="2"/>
      </rPr>
      <t xml:space="preserve"> ) 50% DP</t>
    </r>
  </si>
  <si>
    <r>
      <t xml:space="preserve">DOMINAR 400 </t>
    </r>
    <r>
      <rPr>
        <b/>
        <sz val="9"/>
        <rFont val="Arial"/>
        <family val="2"/>
      </rPr>
      <t>(D4004A-A380/400AA)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50%</t>
    </r>
  </si>
  <si>
    <t>UPDATE: JANUARY 24, 2019  11:00 AM BY: AJF</t>
  </si>
  <si>
    <t>01/24/19</t>
  </si>
  <si>
    <r>
      <t>CRF250L (</t>
    </r>
    <r>
      <rPr>
        <b/>
        <sz val="9"/>
        <rFont val="Arial"/>
        <family val="2"/>
      </rPr>
      <t>CRF250LH/LJ/LK</t>
    </r>
    <r>
      <rPr>
        <sz val="9"/>
        <rFont val="Arial"/>
        <family val="2"/>
      </rPr>
      <t xml:space="preserve">) (24 mos) </t>
    </r>
    <r>
      <rPr>
        <b/>
        <sz val="9"/>
        <rFont val="Arial"/>
        <family val="2"/>
      </rPr>
      <t>50%</t>
    </r>
  </si>
  <si>
    <r>
      <t>Fury 125E (AX125</t>
    </r>
    <r>
      <rPr>
        <b/>
        <sz val="9"/>
        <rFont val="Arial"/>
        <family val="2"/>
      </rPr>
      <t>EHF/AX125EKF</t>
    </r>
    <r>
      <rPr>
        <sz val="9"/>
        <rFont val="Arial"/>
        <family val="2"/>
      </rPr>
      <t>) Spokes</t>
    </r>
  </si>
  <si>
    <t>03/20/19</t>
  </si>
  <si>
    <r>
      <rPr>
        <b/>
        <i/>
        <sz val="9"/>
        <rFont val="Arial"/>
        <family val="2"/>
      </rPr>
      <t>ACB125CBFH</t>
    </r>
    <r>
      <rPr>
        <sz val="9"/>
        <rFont val="Arial"/>
        <family val="2"/>
      </rPr>
      <t>(CLICK 125_</t>
    </r>
    <r>
      <rPr>
        <b/>
        <i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</si>
  <si>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CRF250RL (</t>
    </r>
    <r>
      <rPr>
        <b/>
        <sz val="9"/>
        <rFont val="Arial"/>
        <family val="2"/>
      </rPr>
      <t>CRF250RLJ/LK</t>
    </r>
    <r>
      <rPr>
        <sz val="9"/>
        <rFont val="Arial"/>
        <family val="2"/>
      </rPr>
      <t xml:space="preserve">) (24 mos) </t>
    </r>
    <r>
      <rPr>
        <b/>
        <sz val="9"/>
        <rFont val="Arial"/>
        <family val="2"/>
      </rPr>
      <t>50%</t>
    </r>
  </si>
  <si>
    <t>04/29/19</t>
  </si>
  <si>
    <t>FZ _i (BP71 / BP72 / BP73) 50%DP</t>
  </si>
  <si>
    <t>MB</t>
  </si>
  <si>
    <r>
      <t xml:space="preserve">SMASH115 (FW110SD) </t>
    </r>
    <r>
      <rPr>
        <b/>
        <i/>
        <sz val="8"/>
        <rFont val="Arial"/>
        <family val="2"/>
      </rPr>
      <t>F'DISC/R'DRUM</t>
    </r>
  </si>
  <si>
    <t>SMDI</t>
  </si>
  <si>
    <t>05/17/19</t>
  </si>
  <si>
    <r>
      <t>SKYDRIVESPORT(</t>
    </r>
    <r>
      <rPr>
        <b/>
        <sz val="9"/>
        <rFont val="Arial"/>
        <family val="2"/>
      </rPr>
      <t>UX110NE/NZ</t>
    </r>
    <r>
      <rPr>
        <sz val="9"/>
        <rFont val="Arial"/>
        <family val="2"/>
      </rPr>
      <t>)</t>
    </r>
  </si>
  <si>
    <t>07/22/19</t>
  </si>
  <si>
    <t>2019-013</t>
  </si>
  <si>
    <t>REGINA</t>
  </si>
  <si>
    <t xml:space="preserve">MONSTER EDITION </t>
  </si>
  <si>
    <r>
      <t xml:space="preserve">MIO AEROX (B1WA00) </t>
    </r>
    <r>
      <rPr>
        <b/>
        <i/>
        <sz val="9"/>
        <rFont val="Arial"/>
        <family val="2"/>
      </rPr>
      <t>NEW 50%DP</t>
    </r>
  </si>
  <si>
    <t>09/24/19</t>
  </si>
  <si>
    <t>2019-016</t>
  </si>
  <si>
    <t>YZF-R3 (B5LA00) (24mos ONLY) 50% NEW</t>
  </si>
  <si>
    <t>MONSTER ENERGY YAMAHA MOTOGP EDITION</t>
  </si>
  <si>
    <t>2019-017</t>
  </si>
  <si>
    <t>YZF-R15 (B1C700) 50%DP NEW</t>
  </si>
  <si>
    <t>2019-018</t>
  </si>
  <si>
    <r>
      <t xml:space="preserve">Sniper 150 (B18A00 ) 50% </t>
    </r>
    <r>
      <rPr>
        <b/>
        <i/>
        <sz val="9"/>
        <rFont val="Arial"/>
        <family val="2"/>
        <charset val="204"/>
      </rPr>
      <t>NEW</t>
    </r>
  </si>
  <si>
    <r>
      <t>CFT125MRJ / MRK (</t>
    </r>
    <r>
      <rPr>
        <b/>
        <i/>
        <sz val="9"/>
        <rFont val="Arial"/>
        <family val="2"/>
      </rPr>
      <t xml:space="preserve">DSE_Fi </t>
    </r>
    <r>
      <rPr>
        <i/>
        <sz val="9"/>
        <rFont val="Arial"/>
        <family val="2"/>
      </rPr>
      <t>)(18YM/19YM)</t>
    </r>
  </si>
  <si>
    <t>CBR150RH (CBR150 V/RJ/RJV/RK/RKV)50%</t>
  </si>
  <si>
    <t>Fury 125F (AX125FFF/ AX125FGF) Mags</t>
  </si>
  <si>
    <t>2019-024</t>
  </si>
  <si>
    <r>
      <t>CBR150</t>
    </r>
    <r>
      <rPr>
        <b/>
        <sz val="9"/>
        <rFont val="Arial"/>
        <family val="2"/>
      </rPr>
      <t>R REPSOL (CBR150RAKIII) 50%</t>
    </r>
  </si>
  <si>
    <r>
      <t xml:space="preserve">SIGHT </t>
    </r>
    <r>
      <rPr>
        <b/>
        <sz val="9"/>
        <rFont val="Arial"/>
        <family val="2"/>
      </rPr>
      <t>(1FDA/1FDS) SPOKE</t>
    </r>
  </si>
  <si>
    <r>
      <t xml:space="preserve">SIGHT </t>
    </r>
    <r>
      <rPr>
        <b/>
        <sz val="9"/>
        <rFont val="Arial"/>
        <family val="2"/>
      </rPr>
      <t>(1FD9/1FDR)  CAST</t>
    </r>
  </si>
  <si>
    <t>SUPRA GTR150 (FS150FL)NEW</t>
  </si>
  <si>
    <r>
      <t>WAVE110R Fr Disk Type (</t>
    </r>
    <r>
      <rPr>
        <b/>
        <sz val="7"/>
        <rFont val="Arial"/>
        <family val="2"/>
        <charset val="204"/>
      </rPr>
      <t>AFB110MSH/MSJ/MSK)</t>
    </r>
  </si>
  <si>
    <r>
      <t>WAVE110 Fr Drum Type (</t>
    </r>
    <r>
      <rPr>
        <b/>
        <sz val="7"/>
        <rFont val="Arial"/>
        <family val="2"/>
        <charset val="204"/>
      </rPr>
      <t>AFB110MDH/MDJ/MDK)</t>
    </r>
  </si>
  <si>
    <t>12/18/19</t>
  </si>
  <si>
    <t>MDS-19-43</t>
  </si>
  <si>
    <t>MC-2019-19</t>
  </si>
  <si>
    <t>MC-2019-45</t>
  </si>
  <si>
    <r>
      <t xml:space="preserve">MIO AEROX (B1W3/B1W6/B1WB) </t>
    </r>
    <r>
      <rPr>
        <b/>
        <i/>
        <sz val="9"/>
        <rFont val="Arial"/>
        <family val="2"/>
      </rPr>
      <t>50%DP</t>
    </r>
  </si>
  <si>
    <t>MSD-20-05</t>
  </si>
  <si>
    <r>
      <t>KLX150LW(</t>
    </r>
    <r>
      <rPr>
        <b/>
        <i/>
        <sz val="9"/>
        <rFont val="Arial"/>
        <family val="2"/>
      </rPr>
      <t>KLX150J/JGF/JJF</t>
    </r>
    <r>
      <rPr>
        <sz val="9"/>
        <rFont val="Arial"/>
        <family val="2"/>
      </rPr>
      <t>)</t>
    </r>
    <r>
      <rPr>
        <sz val="8"/>
        <rFont val="Arial"/>
        <family val="2"/>
      </rPr>
      <t>(24 mos.</t>
    </r>
    <r>
      <rPr>
        <b/>
        <sz val="8"/>
        <rFont val="Arial"/>
        <family val="2"/>
      </rPr>
      <t>50%</t>
    </r>
    <r>
      <rPr>
        <sz val="8"/>
        <rFont val="Arial"/>
        <family val="2"/>
      </rPr>
      <t>)</t>
    </r>
  </si>
  <si>
    <r>
      <t xml:space="preserve">Rouser </t>
    </r>
    <r>
      <rPr>
        <b/>
        <sz val="9"/>
        <rFont val="Arial"/>
        <family val="2"/>
        <charset val="204"/>
      </rPr>
      <t>NS160 / NS160AB</t>
    </r>
    <r>
      <rPr>
        <sz val="9"/>
        <rFont val="Arial"/>
        <family val="2"/>
      </rPr>
      <t xml:space="preserve"> Higher DP NEW</t>
    </r>
  </si>
  <si>
    <t>02/08/20</t>
  </si>
  <si>
    <t>2020-001</t>
  </si>
  <si>
    <t>MKTG20-01</t>
  </si>
  <si>
    <t>03/04/20</t>
  </si>
  <si>
    <t>2020-002</t>
  </si>
  <si>
    <r>
      <t>NMAX(</t>
    </r>
    <r>
      <rPr>
        <b/>
        <i/>
        <sz val="9"/>
        <rFont val="Arial"/>
        <family val="2"/>
      </rPr>
      <t>2DPK</t>
    </r>
    <r>
      <rPr>
        <sz val="9"/>
        <rFont val="Arial"/>
        <family val="2"/>
      </rPr>
      <t xml:space="preserve">) </t>
    </r>
    <r>
      <rPr>
        <i/>
        <sz val="9"/>
        <rFont val="Arial"/>
        <family val="2"/>
      </rPr>
      <t>NEW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50%DP</t>
    </r>
  </si>
  <si>
    <t>03/04/2020</t>
  </si>
  <si>
    <t>2020-004</t>
  </si>
  <si>
    <r>
      <t xml:space="preserve">RAIDER </t>
    </r>
    <r>
      <rPr>
        <b/>
        <i/>
        <sz val="9"/>
        <rFont val="Arial"/>
        <family val="2"/>
      </rPr>
      <t>J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CROSSOVER</t>
    </r>
    <r>
      <rPr>
        <sz val="9"/>
        <rFont val="Arial"/>
        <family val="2"/>
      </rPr>
      <t>(</t>
    </r>
    <r>
      <rPr>
        <b/>
        <sz val="9"/>
        <rFont val="Arial"/>
        <family val="2"/>
      </rPr>
      <t>FJ110LB2</t>
    </r>
    <r>
      <rPr>
        <sz val="9"/>
        <rFont val="Arial"/>
        <family val="2"/>
      </rPr>
      <t>)</t>
    </r>
  </si>
  <si>
    <t>07/04/20</t>
  </si>
  <si>
    <r>
      <rPr>
        <b/>
        <sz val="9"/>
        <rFont val="Arial"/>
        <family val="2"/>
      </rPr>
      <t>CRF150L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CRF150LL /CRF150LLIII</t>
    </r>
    <r>
      <rPr>
        <sz val="9"/>
        <rFont val="Arial"/>
        <family val="2"/>
      </rPr>
      <t xml:space="preserve">) </t>
    </r>
    <r>
      <rPr>
        <b/>
        <sz val="9"/>
        <rFont val="Arial"/>
        <family val="2"/>
      </rPr>
      <t>50%</t>
    </r>
  </si>
  <si>
    <t>2020-012</t>
  </si>
  <si>
    <t>2020-015</t>
  </si>
  <si>
    <r>
      <t>TMX150 SUPREMO (</t>
    </r>
    <r>
      <rPr>
        <b/>
        <sz val="9"/>
        <rFont val="Arial"/>
        <family val="2"/>
      </rPr>
      <t>TMXS2J</t>
    </r>
    <r>
      <rPr>
        <sz val="9"/>
        <rFont val="Arial"/>
        <family val="2"/>
      </rPr>
      <t>) (GL150J)</t>
    </r>
  </si>
  <si>
    <t>2020-024</t>
  </si>
  <si>
    <t>2020-025</t>
  </si>
  <si>
    <r>
      <rPr>
        <b/>
        <i/>
        <sz val="9"/>
        <rFont val="Arial"/>
        <family val="2"/>
      </rPr>
      <t>ACB125CBFK</t>
    </r>
    <r>
      <rPr>
        <sz val="9"/>
        <rFont val="Arial"/>
        <family val="2"/>
      </rPr>
      <t xml:space="preserve"> (CLICK 125_</t>
    </r>
    <r>
      <rPr>
        <b/>
        <i/>
        <sz val="9"/>
        <rFont val="Arial"/>
        <family val="2"/>
      </rPr>
      <t>i STD</t>
    </r>
    <r>
      <rPr>
        <sz val="9"/>
        <rFont val="Arial"/>
        <family val="2"/>
      </rPr>
      <t>)</t>
    </r>
  </si>
  <si>
    <t>BeAT_fi ISS/CBS(ACH110CSFK/CSFKII/CSFL/CSFLII) CAST</t>
  </si>
  <si>
    <t>07/07/20</t>
  </si>
  <si>
    <t>MC-2020-008</t>
  </si>
  <si>
    <t>CT 100A / C (NEW)</t>
  </si>
  <si>
    <t>CT100CA380</t>
  </si>
  <si>
    <t>07/15/20</t>
  </si>
  <si>
    <t>NMAX(B6H4-010D0010F/010G) 50%DP</t>
  </si>
  <si>
    <t>07/24/20</t>
  </si>
  <si>
    <t>2020-027</t>
  </si>
  <si>
    <t>08/11/20</t>
  </si>
  <si>
    <r>
      <t>Rouser NS Fi (</t>
    </r>
    <r>
      <rPr>
        <b/>
        <sz val="9"/>
        <rFont val="Arial"/>
        <family val="2"/>
      </rPr>
      <t>RNS200A-A380</t>
    </r>
    <r>
      <rPr>
        <sz val="9"/>
        <rFont val="Arial"/>
        <family val="2"/>
      </rPr>
      <t>)</t>
    </r>
  </si>
  <si>
    <t>2020-029</t>
  </si>
  <si>
    <t>MSD-20-22</t>
  </si>
  <si>
    <r>
      <t xml:space="preserve">MIO AEROX S (B1W1 / B1W7) </t>
    </r>
    <r>
      <rPr>
        <b/>
        <i/>
        <sz val="9"/>
        <rFont val="Arial"/>
        <family val="2"/>
      </rPr>
      <t>NEW 50%DP</t>
    </r>
  </si>
  <si>
    <r>
      <t xml:space="preserve">Sniper 150 </t>
    </r>
    <r>
      <rPr>
        <b/>
        <sz val="9"/>
        <rFont val="Arial"/>
        <family val="2"/>
        <charset val="204"/>
      </rPr>
      <t xml:space="preserve">(B186 / B18B) </t>
    </r>
    <r>
      <rPr>
        <b/>
        <i/>
        <sz val="9"/>
        <rFont val="Arial"/>
        <family val="2"/>
        <charset val="204"/>
      </rPr>
      <t>NEW</t>
    </r>
  </si>
  <si>
    <t>08/27/20</t>
  </si>
  <si>
    <t>MSD-20-23</t>
  </si>
  <si>
    <t>08/29/20</t>
  </si>
  <si>
    <t>2020-31</t>
  </si>
  <si>
    <t>2020-030</t>
  </si>
  <si>
    <r>
      <t xml:space="preserve">Sniper 150 </t>
    </r>
    <r>
      <rPr>
        <sz val="8"/>
        <rFont val="Arial"/>
        <family val="2"/>
        <charset val="204"/>
      </rPr>
      <t>(</t>
    </r>
    <r>
      <rPr>
        <b/>
        <sz val="8"/>
        <rFont val="Arial"/>
        <family val="2"/>
        <charset val="204"/>
      </rPr>
      <t>DOXOUB189/B18A/B18C</t>
    </r>
    <r>
      <rPr>
        <b/>
        <sz val="9"/>
        <rFont val="Arial"/>
        <family val="2"/>
        <charset val="204"/>
      </rPr>
      <t>)</t>
    </r>
    <r>
      <rPr>
        <b/>
        <sz val="8"/>
        <rFont val="Arial"/>
        <family val="2"/>
        <charset val="204"/>
      </rPr>
      <t>50%</t>
    </r>
    <r>
      <rPr>
        <b/>
        <i/>
        <sz val="8"/>
        <rFont val="Arial"/>
        <family val="2"/>
        <charset val="204"/>
      </rPr>
      <t>NEW</t>
    </r>
  </si>
  <si>
    <r>
      <t>MIO AEROX S DOXOU(B1W5/B1W8/B1WC)</t>
    </r>
    <r>
      <rPr>
        <b/>
        <i/>
        <sz val="7.5"/>
        <rFont val="Arial"/>
        <family val="2"/>
      </rPr>
      <t>NEW 50%</t>
    </r>
  </si>
  <si>
    <t>09/17/20</t>
  </si>
  <si>
    <t>MSD-20-25</t>
  </si>
  <si>
    <t>MSD-20-26</t>
  </si>
  <si>
    <r>
      <t xml:space="preserve">CT 125 </t>
    </r>
    <r>
      <rPr>
        <b/>
        <sz val="7"/>
        <rFont val="Arial"/>
        <family val="2"/>
      </rPr>
      <t>(CT125A-A380/CT125AA/CT125AC/CT125AD)</t>
    </r>
  </si>
  <si>
    <t>10/05/20</t>
  </si>
  <si>
    <t>GSX - S150MFX  50% DP</t>
  </si>
  <si>
    <t>ADV150  AL/ALII/AM/AMII 50%</t>
  </si>
  <si>
    <r>
      <t xml:space="preserve">SKYDRIVE </t>
    </r>
    <r>
      <rPr>
        <b/>
        <i/>
        <sz val="9"/>
        <rFont val="Arial"/>
        <family val="2"/>
      </rPr>
      <t>CROSSOVER (UX110NER)</t>
    </r>
  </si>
  <si>
    <t>COLOR VARIATION  BLACK / BLUE</t>
  </si>
  <si>
    <t>YZF-R15 (B1C1/B1C4/B1C3/B1C6/B1C8)50%</t>
  </si>
  <si>
    <t>01/21/21</t>
  </si>
  <si>
    <t>MSD-21-05</t>
  </si>
  <si>
    <t>01/27/21</t>
  </si>
  <si>
    <t>2021-003</t>
  </si>
  <si>
    <t>CT 150 AB</t>
  </si>
  <si>
    <t>CT 150 B-A380/BA</t>
  </si>
  <si>
    <t>YZF-R3 (B5L400/B5LG00/B5LP)(24mos) 50% NEW</t>
  </si>
  <si>
    <t>MSD-21-06</t>
  </si>
  <si>
    <r>
      <t xml:space="preserve">SZ </t>
    </r>
    <r>
      <rPr>
        <b/>
        <sz val="9"/>
        <rFont val="Arial"/>
        <family val="2"/>
      </rPr>
      <t>(BE92/BE93/BE94)NEW</t>
    </r>
  </si>
  <si>
    <t>SEROW 250 (B7C3)</t>
  </si>
  <si>
    <t>03/02/21</t>
  </si>
  <si>
    <t>2021-002</t>
  </si>
  <si>
    <t>Mio Sporty / 40C8 / 40C9 / 40CB</t>
  </si>
  <si>
    <t>BeAT_fi Cast (ACH110CSFJ /CSFJII/ CSFM/CSFMII) CAST</t>
  </si>
  <si>
    <t>NMAX(B6H5-010D/010E/010G/BKL3) 50%DP</t>
  </si>
  <si>
    <t>MSD-21-015</t>
  </si>
  <si>
    <t>NMAX ABS (BKT1) NEW 50% DP</t>
  </si>
  <si>
    <t>03/03/21</t>
  </si>
  <si>
    <t>2021-006</t>
  </si>
  <si>
    <r>
      <t>Mio</t>
    </r>
    <r>
      <rPr>
        <b/>
        <i/>
        <sz val="9"/>
        <rFont val="Arial"/>
        <family val="2"/>
      </rPr>
      <t>_i 125(BB34/BB35/BB36/BB37)</t>
    </r>
  </si>
  <si>
    <t>03/26/21</t>
  </si>
  <si>
    <r>
      <t xml:space="preserve">Rouser </t>
    </r>
    <r>
      <rPr>
        <b/>
        <sz val="8"/>
        <rFont val="Arial"/>
        <family val="2"/>
      </rPr>
      <t>NS200 ABS (RNS200A-C380 / RNS200AC</t>
    </r>
    <r>
      <rPr>
        <sz val="8"/>
        <rFont val="Arial"/>
        <family val="2"/>
      </rPr>
      <t xml:space="preserve"> ) </t>
    </r>
    <r>
      <rPr>
        <b/>
        <sz val="8"/>
        <rFont val="Arial"/>
        <family val="2"/>
      </rPr>
      <t>Higher DP</t>
    </r>
  </si>
  <si>
    <r>
      <t>MIO Soul_</t>
    </r>
    <r>
      <rPr>
        <b/>
        <i/>
        <sz val="9"/>
        <rFont val="Arial"/>
        <family val="2"/>
      </rPr>
      <t>fi 125 (BB41/BB44/BB45/BB47/BB46)</t>
    </r>
  </si>
  <si>
    <t>MDS-21-17</t>
  </si>
  <si>
    <r>
      <t>MIO Soul_</t>
    </r>
    <r>
      <rPr>
        <b/>
        <i/>
        <sz val="9"/>
        <rFont val="Arial"/>
        <family val="2"/>
      </rPr>
      <t>fi 125S (B3E1/B3E2 /B3E3 / B3E4)</t>
    </r>
  </si>
  <si>
    <t>MDS-21-018</t>
  </si>
  <si>
    <t xml:space="preserve">XSR155 (BBS200-010A/B  / BBS400-010B/C ) </t>
  </si>
  <si>
    <t>MSD-21-019</t>
  </si>
  <si>
    <t xml:space="preserve">#findURtrip EDITION </t>
  </si>
  <si>
    <t>COLOR VARIATION  M. SILVER / M. DARK GRAY</t>
  </si>
  <si>
    <t>04/13/21</t>
  </si>
  <si>
    <t>MIO GRAVIS (B3U400-010A)</t>
  </si>
  <si>
    <t>MB-2021-015</t>
  </si>
  <si>
    <t>MIO SPORTY (40CC00-010A)</t>
  </si>
  <si>
    <r>
      <t xml:space="preserve">MIO AEROX S (BDM300-010A) </t>
    </r>
    <r>
      <rPr>
        <b/>
        <i/>
        <sz val="9"/>
        <rFont val="Arial"/>
        <family val="2"/>
      </rPr>
      <t>NEW 50%DP</t>
    </r>
  </si>
  <si>
    <t>04/21/21</t>
  </si>
  <si>
    <t>MB-2021-016</t>
  </si>
  <si>
    <t>XMAX(B746/B74H00/B5X300) 50%DP (24MOS.)</t>
  </si>
  <si>
    <t>04/23/21</t>
  </si>
  <si>
    <t>MSD-21-26</t>
  </si>
  <si>
    <t>ACJ110CBFL/CBFM/CBFMII (GENIO) NEW</t>
  </si>
  <si>
    <r>
      <t xml:space="preserve">CBR150R (CBR150RMIV ) 50% </t>
    </r>
    <r>
      <rPr>
        <b/>
        <i/>
        <sz val="8"/>
        <rFont val="Arial"/>
        <family val="2"/>
      </rPr>
      <t>NEW</t>
    </r>
  </si>
  <si>
    <r>
      <rPr>
        <b/>
        <sz val="9"/>
        <rFont val="Arial"/>
        <family val="2"/>
      </rPr>
      <t>RS125 Fi (ZN125MJ/MK</t>
    </r>
    <r>
      <rPr>
        <sz val="9"/>
        <rFont val="Arial"/>
        <family val="2"/>
      </rPr>
      <t xml:space="preserve">) </t>
    </r>
  </si>
  <si>
    <t>05/24/21</t>
  </si>
  <si>
    <t>MB-2021-019</t>
  </si>
  <si>
    <t>ACB125 CBFL / CBFM / CBFN (CLICK 125_i)</t>
  </si>
  <si>
    <t>DIO (SCV110FM)</t>
  </si>
  <si>
    <r>
      <t>MIO_</t>
    </r>
    <r>
      <rPr>
        <b/>
        <i/>
        <sz val="8"/>
        <rFont val="Arial"/>
        <family val="2"/>
      </rPr>
      <t xml:space="preserve">i 125S </t>
    </r>
    <r>
      <rPr>
        <b/>
        <sz val="8"/>
        <rFont val="Arial"/>
        <family val="2"/>
      </rPr>
      <t>(B6B600-0101A)</t>
    </r>
  </si>
  <si>
    <r>
      <rPr>
        <b/>
        <i/>
        <sz val="9"/>
        <rFont val="Arial"/>
        <family val="2"/>
      </rPr>
      <t xml:space="preserve">SNIPER 155   </t>
    </r>
    <r>
      <rPr>
        <sz val="8"/>
        <rFont val="Arial"/>
        <family val="2"/>
        <charset val="204"/>
      </rPr>
      <t>(</t>
    </r>
    <r>
      <rPr>
        <b/>
        <sz val="8"/>
        <rFont val="Arial"/>
        <family val="2"/>
      </rPr>
      <t>BAY200-010A/B/C</t>
    </r>
    <r>
      <rPr>
        <b/>
        <sz val="9"/>
        <rFont val="Arial"/>
        <family val="2"/>
        <charset val="204"/>
      </rPr>
      <t xml:space="preserve">) </t>
    </r>
    <r>
      <rPr>
        <b/>
        <sz val="8"/>
        <rFont val="Arial"/>
        <family val="2"/>
        <charset val="204"/>
      </rPr>
      <t xml:space="preserve">50% </t>
    </r>
    <r>
      <rPr>
        <b/>
        <i/>
        <sz val="8"/>
        <rFont val="Arial"/>
        <family val="2"/>
        <charset val="204"/>
      </rPr>
      <t>NEW</t>
    </r>
  </si>
  <si>
    <r>
      <rPr>
        <b/>
        <i/>
        <sz val="9"/>
        <rFont val="Arial"/>
        <family val="2"/>
      </rPr>
      <t xml:space="preserve">SNIPER 155R </t>
    </r>
    <r>
      <rPr>
        <sz val="8"/>
        <rFont val="Arial"/>
        <family val="2"/>
        <charset val="204"/>
      </rPr>
      <t>(</t>
    </r>
    <r>
      <rPr>
        <b/>
        <sz val="8"/>
        <rFont val="Arial"/>
        <family val="2"/>
      </rPr>
      <t>BAY100-010A</t>
    </r>
    <r>
      <rPr>
        <b/>
        <sz val="9"/>
        <rFont val="Arial"/>
        <family val="2"/>
        <charset val="204"/>
      </rPr>
      <t xml:space="preserve">) </t>
    </r>
    <r>
      <rPr>
        <b/>
        <sz val="8"/>
        <rFont val="Arial"/>
        <family val="2"/>
        <charset val="204"/>
      </rPr>
      <t xml:space="preserve">50% </t>
    </r>
    <r>
      <rPr>
        <b/>
        <i/>
        <sz val="8"/>
        <rFont val="Arial"/>
        <family val="2"/>
        <charset val="204"/>
      </rPr>
      <t>NEW</t>
    </r>
  </si>
  <si>
    <t>ACB150 CBTK [ISS/CBS]  CBTL / CBTM (CLICK 150_i)</t>
  </si>
  <si>
    <r>
      <t>MIO AEROX (BDM1/BKM1)</t>
    </r>
    <r>
      <rPr>
        <b/>
        <i/>
        <sz val="7.5"/>
        <rFont val="Arial"/>
        <family val="2"/>
      </rPr>
      <t>NEW 50%</t>
    </r>
  </si>
  <si>
    <t>MSD-21-36</t>
  </si>
  <si>
    <t>06/26/21</t>
  </si>
  <si>
    <r>
      <t>MIO AEROX S (BDM2/BKM2)</t>
    </r>
    <r>
      <rPr>
        <b/>
        <i/>
        <sz val="7.5"/>
        <rFont val="Arial"/>
        <family val="2"/>
      </rPr>
      <t>NEW 50%</t>
    </r>
  </si>
  <si>
    <t>BeAT_Fi S'fashion sport / S'street (ACH110 CSFN / CSFNII)</t>
  </si>
  <si>
    <t>BeAT_fi ISS/CBS(ACH110CBTF/CBTH/CBTJII/CBTK/CBTL3/CBTM3/CBTN3)</t>
  </si>
  <si>
    <t>08/05/21</t>
  </si>
  <si>
    <t>MSD-21-046</t>
  </si>
  <si>
    <t>MIO GEAR S (BJN300-010A) M.SILVER / M. DARK GRAY</t>
  </si>
  <si>
    <t xml:space="preserve"> </t>
  </si>
  <si>
    <r>
      <t xml:space="preserve">GIXXER </t>
    </r>
    <r>
      <rPr>
        <b/>
        <sz val="9"/>
        <rFont val="Arial"/>
        <family val="2"/>
      </rPr>
      <t xml:space="preserve">(GSX150RF ) </t>
    </r>
  </si>
  <si>
    <t>10/04/21</t>
  </si>
  <si>
    <r>
      <t>Rouser NS Fi (</t>
    </r>
    <r>
      <rPr>
        <b/>
        <sz val="9"/>
        <rFont val="Arial"/>
        <family val="2"/>
      </rPr>
      <t>RNS125-A380/NS125AA</t>
    </r>
    <r>
      <rPr>
        <sz val="9"/>
        <rFont val="Arial"/>
        <family val="2"/>
      </rPr>
      <t>)</t>
    </r>
  </si>
  <si>
    <t>MB-2021-046</t>
  </si>
  <si>
    <t>World GP 60th Anniversary Edition</t>
  </si>
  <si>
    <t>COLOR VARIATION  WHITE / RED ANNIVERSARY WHITE</t>
  </si>
  <si>
    <r>
      <t xml:space="preserve">SNIPER 155R (BAY500-010A) 50% </t>
    </r>
    <r>
      <rPr>
        <b/>
        <i/>
        <sz val="9"/>
        <rFont val="Arial"/>
        <family val="2"/>
        <charset val="204"/>
      </rPr>
      <t>NEW</t>
    </r>
  </si>
  <si>
    <r>
      <t>MIO AEROX S (BDM4/BKM4 )</t>
    </r>
    <r>
      <rPr>
        <b/>
        <i/>
        <sz val="8"/>
        <rFont val="Arial"/>
        <family val="2"/>
      </rPr>
      <t>NEW 50%</t>
    </r>
  </si>
  <si>
    <r>
      <t>MIO SOUL_</t>
    </r>
    <r>
      <rPr>
        <b/>
        <i/>
        <sz val="8"/>
        <rFont val="Arial"/>
        <family val="2"/>
      </rPr>
      <t xml:space="preserve">i 125S </t>
    </r>
    <r>
      <rPr>
        <b/>
        <sz val="8"/>
        <rFont val="Arial"/>
        <family val="2"/>
      </rPr>
      <t>(B3E500-01A)</t>
    </r>
  </si>
  <si>
    <r>
      <t>MIO AEROX S (BDM900-010AGP 60TH LIMITED EDITION )</t>
    </r>
    <r>
      <rPr>
        <b/>
        <i/>
        <sz val="7.5"/>
        <rFont val="Arial"/>
        <family val="2"/>
      </rPr>
      <t>NEW 50%</t>
    </r>
  </si>
  <si>
    <r>
      <t xml:space="preserve">SNIPER 155R (BAY400-010A GP 60TH LIMITED EDITION ) 50% </t>
    </r>
    <r>
      <rPr>
        <b/>
        <i/>
        <sz val="7.5"/>
        <rFont val="Arial"/>
        <family val="2"/>
      </rPr>
      <t>NEW</t>
    </r>
  </si>
  <si>
    <r>
      <rPr>
        <b/>
        <i/>
        <sz val="9"/>
        <rFont val="Arial"/>
        <family val="2"/>
        <charset val="204"/>
      </rPr>
      <t xml:space="preserve">CFT125MRNII DSX </t>
    </r>
    <r>
      <rPr>
        <i/>
        <sz val="9"/>
        <rFont val="Arial"/>
        <family val="2"/>
      </rPr>
      <t>(</t>
    </r>
    <r>
      <rPr>
        <b/>
        <i/>
        <sz val="9"/>
        <rFont val="Arial"/>
        <family val="2"/>
      </rPr>
      <t xml:space="preserve">DUAL SPORTS EXTREME </t>
    </r>
    <r>
      <rPr>
        <i/>
        <sz val="9"/>
        <rFont val="Arial"/>
        <family val="2"/>
      </rPr>
      <t>)</t>
    </r>
  </si>
  <si>
    <t>CT 100BE (CT100B-E380/CT100BE)(NEW)</t>
  </si>
  <si>
    <r>
      <t xml:space="preserve">DOMINAR 400UG </t>
    </r>
    <r>
      <rPr>
        <b/>
        <sz val="9"/>
        <rFont val="Arial"/>
        <family val="2"/>
      </rPr>
      <t>(D400B-A380/400BA)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50%</t>
    </r>
  </si>
  <si>
    <r>
      <rPr>
        <b/>
        <sz val="9"/>
        <rFont val="Arial"/>
        <family val="2"/>
      </rPr>
      <t xml:space="preserve">CRF150L 2022 YEAR 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CRF150LN/LNIII/LNIV</t>
    </r>
    <r>
      <rPr>
        <sz val="9"/>
        <rFont val="Arial"/>
        <family val="2"/>
      </rPr>
      <t xml:space="preserve">) </t>
    </r>
    <r>
      <rPr>
        <b/>
        <sz val="9"/>
        <rFont val="Arial"/>
        <family val="2"/>
      </rPr>
      <t>50%</t>
    </r>
  </si>
  <si>
    <r>
      <t>RAIDER150 (</t>
    </r>
    <r>
      <rPr>
        <b/>
        <sz val="9"/>
        <rFont val="Arial"/>
        <family val="2"/>
      </rPr>
      <t xml:space="preserve">FU150DY3-MGP </t>
    </r>
    <r>
      <rPr>
        <b/>
        <sz val="8"/>
        <rFont val="Arial"/>
        <family val="2"/>
      </rPr>
      <t>BLUE</t>
    </r>
    <r>
      <rPr>
        <sz val="9"/>
        <rFont val="Arial"/>
        <family val="2"/>
      </rPr>
      <t>)</t>
    </r>
    <r>
      <rPr>
        <b/>
        <sz val="8"/>
        <rFont val="Arial"/>
        <family val="2"/>
      </rPr>
      <t>NEW</t>
    </r>
  </si>
  <si>
    <r>
      <t xml:space="preserve">Rouser </t>
    </r>
    <r>
      <rPr>
        <b/>
        <sz val="9"/>
        <rFont val="Arial"/>
        <family val="2"/>
      </rPr>
      <t>RS</t>
    </r>
    <r>
      <rPr>
        <sz val="9"/>
        <rFont val="Arial"/>
        <family val="2"/>
      </rPr>
      <t xml:space="preserve"> 200 (</t>
    </r>
    <r>
      <rPr>
        <b/>
        <i/>
        <sz val="9"/>
        <rFont val="Arial"/>
        <family val="2"/>
      </rPr>
      <t>ABS/RRS200AD/AE</t>
    </r>
    <r>
      <rPr>
        <b/>
        <sz val="9"/>
        <rFont val="Arial"/>
        <family val="2"/>
      </rPr>
      <t xml:space="preserve"> ) Higher DP</t>
    </r>
  </si>
  <si>
    <t>ADDRESS (UK110NE/NZ/NX)</t>
  </si>
  <si>
    <t>YZF-R3 (B5LX00-010A/010B)(24mos) 50% NEW</t>
  </si>
  <si>
    <t>YZF-R3 (B5LT00-010A)(24mos) 50% NEW</t>
  </si>
  <si>
    <t>ACA150CAFL /ACAFLII (AIR BLADE150) 50%</t>
  </si>
  <si>
    <t>XMAX( B5XE )  010E / 010F  50%DP (24MOS.)</t>
  </si>
  <si>
    <t>YZF-R15M (BNE100-010A) 50%DP NEW</t>
  </si>
  <si>
    <t>YZF-R15M (BNE200-010A) 50%DP NEW</t>
  </si>
  <si>
    <t>CB150X(CB150 XN / XNII )50% NEW</t>
  </si>
  <si>
    <t>PCX160 CBS (WW150M) 50%</t>
  </si>
  <si>
    <t>WR155R (B3M300 - 010 A/B )</t>
  </si>
  <si>
    <r>
      <t>KLX150BF(LX150F/ KLX150FMBBN)</t>
    </r>
    <r>
      <rPr>
        <b/>
        <sz val="8"/>
        <rFont val="Arial"/>
        <family val="2"/>
      </rPr>
      <t>(24 mos. 50%)</t>
    </r>
  </si>
  <si>
    <t>06/01/2022</t>
  </si>
  <si>
    <t>MB-2022-054</t>
  </si>
  <si>
    <r>
      <t xml:space="preserve">CT 125 </t>
    </r>
    <r>
      <rPr>
        <b/>
        <sz val="7"/>
        <rFont val="Arial"/>
        <family val="2"/>
      </rPr>
      <t xml:space="preserve">(CT125A-E380 / CT125AE) </t>
    </r>
  </si>
  <si>
    <t>CT 100B</t>
  </si>
  <si>
    <r>
      <t xml:space="preserve">Rouser </t>
    </r>
    <r>
      <rPr>
        <b/>
        <sz val="9"/>
        <rFont val="Arial"/>
        <family val="2"/>
        <charset val="204"/>
      </rPr>
      <t>NS160AC (RNS160A-C380/RSN160AC/AD )</t>
    </r>
    <r>
      <rPr>
        <sz val="7"/>
        <rFont val="Arial"/>
        <family val="2"/>
      </rPr>
      <t>Higher DP NEW</t>
    </r>
  </si>
  <si>
    <r>
      <t>MIO AEROX (BRW100)</t>
    </r>
    <r>
      <rPr>
        <b/>
        <i/>
        <sz val="7.5"/>
        <rFont val="Arial"/>
        <family val="2"/>
      </rPr>
      <t>NEW 50%</t>
    </r>
  </si>
  <si>
    <r>
      <t>MIO AEROX S (BRW300)</t>
    </r>
    <r>
      <rPr>
        <b/>
        <i/>
        <sz val="8"/>
        <rFont val="Arial"/>
        <family val="2"/>
      </rPr>
      <t>NEW 50%</t>
    </r>
  </si>
  <si>
    <r>
      <t>MIO AEROX S (BRW200)</t>
    </r>
    <r>
      <rPr>
        <b/>
        <i/>
        <sz val="7.5"/>
        <rFont val="Arial"/>
        <family val="2"/>
      </rPr>
      <t>NEW 50%</t>
    </r>
  </si>
  <si>
    <t>07/04/2022</t>
  </si>
  <si>
    <t>MB-2022-057</t>
  </si>
  <si>
    <t>MB-2022-058</t>
  </si>
  <si>
    <t>07/05/2022</t>
  </si>
  <si>
    <t>MB-2022-059</t>
  </si>
  <si>
    <t>MB-2022-065</t>
  </si>
  <si>
    <t>MB-2022-066</t>
  </si>
  <si>
    <t>MB-2022-068</t>
  </si>
  <si>
    <t>07/05/20220</t>
  </si>
  <si>
    <t>MB-2022-069</t>
  </si>
  <si>
    <t>MB-2022-070</t>
  </si>
  <si>
    <t>MB-2022-073</t>
  </si>
  <si>
    <t>MB-2022-074</t>
  </si>
  <si>
    <t>MB-2022-075</t>
  </si>
  <si>
    <t>MB-2022-077</t>
  </si>
  <si>
    <t>MB-2022-080</t>
  </si>
  <si>
    <t>AVENIS (UN125NE)</t>
  </si>
  <si>
    <t>08/02/2022</t>
  </si>
  <si>
    <t>CT 100C (B380 / CT100CB)</t>
  </si>
  <si>
    <t>MB-2022-086</t>
  </si>
  <si>
    <t>ACA160CAFP/ACA160CAFPII (AIR BLADE160) 50%</t>
  </si>
  <si>
    <r>
      <t>Mio</t>
    </r>
    <r>
      <rPr>
        <b/>
        <i/>
        <sz val="9"/>
        <rFont val="Arial"/>
        <family val="2"/>
      </rPr>
      <t>_i 125 BB3800 (A/B/C/D) / BB3900 (A/B/C)</t>
    </r>
  </si>
  <si>
    <t>10/28/2022</t>
  </si>
  <si>
    <t>ADV160  (ADV160AP) 50%</t>
  </si>
  <si>
    <r>
      <rPr>
        <b/>
        <i/>
        <sz val="9"/>
        <rFont val="Arial"/>
        <family val="2"/>
      </rPr>
      <t xml:space="preserve">SNIPER 155   </t>
    </r>
    <r>
      <rPr>
        <sz val="8"/>
        <rFont val="Arial"/>
        <family val="2"/>
        <charset val="204"/>
      </rPr>
      <t>(</t>
    </r>
    <r>
      <rPr>
        <b/>
        <sz val="8"/>
        <rFont val="Arial"/>
        <family val="2"/>
      </rPr>
      <t>BAY800-010A/B/</t>
    </r>
    <r>
      <rPr>
        <b/>
        <sz val="9"/>
        <rFont val="Arial"/>
        <family val="2"/>
        <charset val="204"/>
      </rPr>
      <t xml:space="preserve">) </t>
    </r>
    <r>
      <rPr>
        <b/>
        <sz val="8"/>
        <rFont val="Arial"/>
        <family val="2"/>
        <charset val="204"/>
      </rPr>
      <t xml:space="preserve">50% </t>
    </r>
    <r>
      <rPr>
        <b/>
        <i/>
        <sz val="8"/>
        <rFont val="Arial"/>
        <family val="2"/>
        <charset val="204"/>
      </rPr>
      <t>NEW</t>
    </r>
  </si>
  <si>
    <t>MB-2022-131</t>
  </si>
  <si>
    <r>
      <rPr>
        <b/>
        <i/>
        <sz val="9"/>
        <rFont val="Arial"/>
        <family val="2"/>
      </rPr>
      <t xml:space="preserve">SNIPER 155R </t>
    </r>
    <r>
      <rPr>
        <sz val="8"/>
        <rFont val="Arial"/>
        <family val="2"/>
        <charset val="204"/>
      </rPr>
      <t>(</t>
    </r>
    <r>
      <rPr>
        <b/>
        <sz val="8"/>
        <rFont val="Arial"/>
        <family val="2"/>
      </rPr>
      <t>BAY700-010A</t>
    </r>
    <r>
      <rPr>
        <b/>
        <sz val="9"/>
        <rFont val="Arial"/>
        <family val="2"/>
        <charset val="204"/>
      </rPr>
      <t xml:space="preserve">) </t>
    </r>
    <r>
      <rPr>
        <b/>
        <sz val="8"/>
        <rFont val="Arial"/>
        <family val="2"/>
        <charset val="204"/>
      </rPr>
      <t xml:space="preserve">50% </t>
    </r>
    <r>
      <rPr>
        <b/>
        <i/>
        <sz val="8"/>
        <rFont val="Arial"/>
        <family val="2"/>
        <charset val="204"/>
      </rPr>
      <t>NEW</t>
    </r>
  </si>
  <si>
    <t>MB-2022-132</t>
  </si>
  <si>
    <r>
      <t>MIO AEROX S (BRW500-010A/B/)</t>
    </r>
    <r>
      <rPr>
        <b/>
        <i/>
        <sz val="7.5"/>
        <rFont val="Arial"/>
        <family val="2"/>
      </rPr>
      <t>NEW 50%</t>
    </r>
  </si>
  <si>
    <r>
      <t xml:space="preserve">GIXXER SF250 </t>
    </r>
    <r>
      <rPr>
        <b/>
        <sz val="9"/>
        <rFont val="Arial"/>
        <family val="2"/>
      </rPr>
      <t xml:space="preserve">(GSX250FRLX/FRLZ ) </t>
    </r>
    <r>
      <rPr>
        <b/>
        <i/>
        <sz val="9"/>
        <rFont val="Arial"/>
        <family val="2"/>
      </rPr>
      <t>NEW 50%</t>
    </r>
  </si>
  <si>
    <t>Barako 175 II KICK START (BC175HHF/H-E380/HMFNN/MNFNN/MPFNN)</t>
  </si>
  <si>
    <r>
      <rPr>
        <b/>
        <sz val="7.5"/>
        <rFont val="Arial"/>
        <family val="2"/>
      </rPr>
      <t>Barako 175 II DUAL START (BC175J-D380 / JHF/ JMFNN / NNFNN/NPFNN</t>
    </r>
    <r>
      <rPr>
        <b/>
        <sz val="8"/>
        <rFont val="Arial"/>
        <family val="2"/>
      </rPr>
      <t>)</t>
    </r>
  </si>
  <si>
    <t>BARAKO III KICK START (BC175KMFNN/KPFNN)</t>
  </si>
  <si>
    <t>12/01/2022</t>
  </si>
  <si>
    <t>MB-2022-166</t>
  </si>
  <si>
    <t>MB-2022-167</t>
  </si>
  <si>
    <t>MB-2022-169</t>
  </si>
  <si>
    <t>MB-2022-170</t>
  </si>
  <si>
    <t>MB-2022-171</t>
  </si>
  <si>
    <t>MB-2022-172</t>
  </si>
  <si>
    <t>MB-2022-173</t>
  </si>
  <si>
    <t>XR150L (XR150LEKP) 2023</t>
  </si>
  <si>
    <t>01/06/2023</t>
  </si>
  <si>
    <t>MB-2023-002</t>
  </si>
  <si>
    <t>MB-2023-003</t>
  </si>
  <si>
    <t>MB-2023-005</t>
  </si>
  <si>
    <t>MB-2023-006</t>
  </si>
  <si>
    <t>01/10/2023</t>
  </si>
  <si>
    <t>MB-2023-009</t>
  </si>
  <si>
    <t>MB-2023-015</t>
  </si>
  <si>
    <t>MB-2023-018</t>
  </si>
  <si>
    <t>MB-2023-019</t>
  </si>
  <si>
    <t>MB-2023-020</t>
  </si>
  <si>
    <t>MB-2023-021</t>
  </si>
  <si>
    <t>MB-2023-022</t>
  </si>
  <si>
    <t>MB-2023-027</t>
  </si>
  <si>
    <t>MB-2023-028</t>
  </si>
  <si>
    <t>MB-2023-029</t>
  </si>
  <si>
    <t>MC-2023-030</t>
  </si>
  <si>
    <t>MC-2023-031</t>
  </si>
  <si>
    <t>MB-2023-032</t>
  </si>
  <si>
    <t>MB-2023-010</t>
  </si>
  <si>
    <t>MB-2023-004</t>
  </si>
  <si>
    <t>01/13/2023</t>
  </si>
  <si>
    <t>MB-2023-034</t>
  </si>
  <si>
    <t>MB-2023-035</t>
  </si>
  <si>
    <t>MB-2023-036</t>
  </si>
  <si>
    <t>MB-2023-039</t>
  </si>
  <si>
    <t>MB-2023-040</t>
  </si>
  <si>
    <t>CRF125 BIG WHEEL (CRF125FBP)</t>
  </si>
  <si>
    <r>
      <t xml:space="preserve">RAIDER </t>
    </r>
    <r>
      <rPr>
        <b/>
        <i/>
        <sz val="9"/>
        <rFont val="Arial"/>
        <family val="2"/>
      </rPr>
      <t xml:space="preserve">R150_fi (FU150 MFQ/MFJ/MFX/MFZ)50% </t>
    </r>
  </si>
  <si>
    <t>01/23/2023</t>
  </si>
  <si>
    <t>YZF-R3 (BVJD00-010A)(24mos) 50% NEW</t>
  </si>
  <si>
    <t>MB-2023-042</t>
  </si>
  <si>
    <t>PCX160 ABS (WW150AM) 50%</t>
  </si>
  <si>
    <t>PCX150 (WW150AK/AL) 50%</t>
  </si>
  <si>
    <t>02/25/2023</t>
  </si>
  <si>
    <t>MIO GEAR    (BJN100-010A/010B) MYWP1 / MBNM3 / BJN400</t>
  </si>
  <si>
    <t>MB-2023-059</t>
  </si>
  <si>
    <r>
      <t xml:space="preserve">MIO GEAR S (BJN200-010A/010B) </t>
    </r>
    <r>
      <rPr>
        <b/>
        <sz val="7"/>
        <rFont val="Arial"/>
        <family val="2"/>
      </rPr>
      <t>MBL2/MDPBM1 MBLK/BLU</t>
    </r>
    <r>
      <rPr>
        <b/>
        <sz val="8"/>
        <rFont val="Arial"/>
        <family val="2"/>
      </rPr>
      <t xml:space="preserve"> /BJN500</t>
    </r>
  </si>
  <si>
    <t>MB-2023-060</t>
  </si>
  <si>
    <t>03/01/2023</t>
  </si>
  <si>
    <t>MB-2023-066</t>
  </si>
  <si>
    <t>03/02/2023</t>
  </si>
  <si>
    <t>MB-2023-074</t>
  </si>
  <si>
    <t>V-STROM250SX(DS250RL-1) (24 mos) 50%</t>
  </si>
  <si>
    <t>MIO GRAVIS (B3U100/B3U200/B3U300/BKV100 A/B/C)</t>
  </si>
  <si>
    <t>03/08/2023</t>
  </si>
  <si>
    <t>MB-2023-076</t>
  </si>
  <si>
    <t>MB-2023-075</t>
  </si>
  <si>
    <r>
      <t>Mio</t>
    </r>
    <r>
      <rPr>
        <b/>
        <i/>
        <sz val="9"/>
        <rFont val="Arial"/>
        <family val="2"/>
      </rPr>
      <t>_i 125S(B6B1/B6B2/B6B3/B6B4/B6B5/B6B7)</t>
    </r>
  </si>
  <si>
    <t>MB-2023-077</t>
  </si>
  <si>
    <t>03/31/23</t>
  </si>
  <si>
    <t>MC-2023-017</t>
  </si>
  <si>
    <t>03/31/2023</t>
  </si>
  <si>
    <r>
      <rPr>
        <b/>
        <sz val="9"/>
        <rFont val="Arial"/>
        <family val="2"/>
      </rPr>
      <t>CRF250RX</t>
    </r>
    <r>
      <rPr>
        <sz val="8"/>
        <rFont val="Arial"/>
        <family val="2"/>
      </rPr>
      <t xml:space="preserve"> (</t>
    </r>
    <r>
      <rPr>
        <b/>
        <sz val="8"/>
        <rFont val="Arial"/>
        <family val="2"/>
      </rPr>
      <t>CRF250RXN 22/CRF250RXP 23</t>
    </r>
    <r>
      <rPr>
        <sz val="8"/>
        <rFont val="Arial"/>
        <family val="2"/>
      </rPr>
      <t>)</t>
    </r>
  </si>
  <si>
    <t>MC-2022-062</t>
  </si>
  <si>
    <t>BURGMAN STREET 125 EX (UB125LNM)</t>
  </si>
  <si>
    <t>04/14/2023</t>
  </si>
  <si>
    <t>MB-2023-078</t>
  </si>
  <si>
    <t>BURGMAN STREET (UB125 NMB / NMX / NM-9)</t>
  </si>
  <si>
    <t>04/27/2023</t>
  </si>
  <si>
    <t>MB-2023-079</t>
  </si>
  <si>
    <t>MB-2023-080</t>
  </si>
  <si>
    <t>MB-2023-081</t>
  </si>
  <si>
    <t>MB-2023-083</t>
  </si>
  <si>
    <t>KLX140 (KLX140CNFNN) (2022)</t>
  </si>
  <si>
    <t>KLX140 (KLX140CPFNN) (2023)</t>
  </si>
  <si>
    <t>MB-2023-084</t>
  </si>
  <si>
    <t>05/11/2023</t>
  </si>
  <si>
    <t>MB-2023-085</t>
  </si>
  <si>
    <t>XMAX( BKA500 )  010A / 010E  50%DP (24MOS.)</t>
  </si>
  <si>
    <t>TMX SUPREMO (GL150R) 2024 YEAR</t>
  </si>
  <si>
    <t>05/24/2023</t>
  </si>
  <si>
    <t>MB-2023-086</t>
  </si>
  <si>
    <t>05/31/2023</t>
  </si>
  <si>
    <t>MB-2023-091</t>
  </si>
  <si>
    <t>07/18/2023</t>
  </si>
  <si>
    <t>MIO FAZZIO (BRV100-010B/010C/010D &amp; BRV200-010A/010C/010E)</t>
  </si>
  <si>
    <t>MB-2023-095</t>
  </si>
  <si>
    <t>07/27/2023</t>
  </si>
  <si>
    <t>MB-2023-096</t>
  </si>
  <si>
    <r>
      <t xml:space="preserve">GIXXER250 </t>
    </r>
    <r>
      <rPr>
        <b/>
        <sz val="9"/>
        <rFont val="Arial"/>
        <family val="2"/>
      </rPr>
      <t xml:space="preserve">(GSX250RL / RL-6) </t>
    </r>
    <r>
      <rPr>
        <b/>
        <i/>
        <sz val="9"/>
        <rFont val="Arial"/>
        <family val="2"/>
      </rPr>
      <t>NEW 50%</t>
    </r>
  </si>
  <si>
    <t>08/02/2023</t>
  </si>
  <si>
    <t>MC-2023-099</t>
  </si>
  <si>
    <t>PCX160 CBS (WW160P) 2023 50%</t>
  </si>
  <si>
    <t>MB-2023-098</t>
  </si>
  <si>
    <t>MB-2023-097</t>
  </si>
  <si>
    <t>PCX160 ABS (WW160AP) 2023 50%</t>
  </si>
  <si>
    <r>
      <t xml:space="preserve">DOMINAR 400UG2 </t>
    </r>
    <r>
      <rPr>
        <b/>
        <sz val="9"/>
        <rFont val="Arial"/>
        <family val="2"/>
      </rPr>
      <t>(D400AA)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50%</t>
    </r>
  </si>
  <si>
    <t>08/11/2023</t>
  </si>
  <si>
    <t>MB-2023-100</t>
  </si>
  <si>
    <t>NMAX ABS (BKT2 / BKT3) NEW 50% DP</t>
  </si>
  <si>
    <t>BeAT 2024 ACH110 CBFR3 - MAG/PW</t>
  </si>
  <si>
    <t>09/30/2023</t>
  </si>
  <si>
    <t>MB-2023-103</t>
  </si>
  <si>
    <t>BeAT 2024 ACH110 CBFR - PG/RD/PNB/YW</t>
  </si>
  <si>
    <t>MB-2023-102</t>
  </si>
  <si>
    <t>BeAT  ACH110 CBFR4 50th ANNIVERSARY LIMITED EDITION</t>
  </si>
  <si>
    <t>MB-2023-104</t>
  </si>
  <si>
    <t>ACB125 CBFR3 50th ANNIVERSARY LIMITED EDITION</t>
  </si>
  <si>
    <t>MB-2023-105</t>
  </si>
  <si>
    <t>ACB125 CBFPII / CBFRII (CLICK 125_i) 2023 / 2024</t>
  </si>
  <si>
    <t>12-36</t>
  </si>
  <si>
    <t>10/31/2023</t>
  </si>
  <si>
    <t xml:space="preserve"> MB-2023-109</t>
  </si>
  <si>
    <t>MB-2023-111</t>
  </si>
  <si>
    <t>07/31/2023</t>
  </si>
  <si>
    <t>MB-2023-112</t>
  </si>
  <si>
    <t>MB-2023-113</t>
  </si>
  <si>
    <t>MB-2023-114</t>
  </si>
  <si>
    <t>MB-2023-116</t>
  </si>
  <si>
    <t>MB-2023-117</t>
  </si>
  <si>
    <r>
      <t xml:space="preserve">RAIDER </t>
    </r>
    <r>
      <rPr>
        <b/>
        <i/>
        <sz val="7"/>
        <rFont val="Arial"/>
        <family val="2"/>
      </rPr>
      <t xml:space="preserve">R150_fi Rugged &amp; Sport Edition(FU150 MFX-8/MFZ-8/MFS-8) 50% </t>
    </r>
  </si>
  <si>
    <t>SMASH FI (FV110LA-B1) SPOKES/DRUM</t>
  </si>
  <si>
    <t>SMASH FI (FV110LE-B1) MAGS/DISC</t>
  </si>
  <si>
    <t>12/29/2023</t>
  </si>
  <si>
    <t>MB-2023-122</t>
  </si>
  <si>
    <t>NMAX ABS (BKT400-010H/G/F/A) NEW 50% DP</t>
  </si>
  <si>
    <t>MB-2023-121</t>
  </si>
  <si>
    <t>MB-2023-120</t>
  </si>
  <si>
    <r>
      <t>MIO AEROX (BRW400 / BRW600-010A/B/C/D)</t>
    </r>
    <r>
      <rPr>
        <b/>
        <i/>
        <sz val="7.5"/>
        <rFont val="Arial"/>
        <family val="2"/>
      </rPr>
      <t>NEW 50%</t>
    </r>
  </si>
  <si>
    <t>MB-2022-133 / MSD-23-027</t>
  </si>
  <si>
    <t>ACB160CBTN / CBTR (CLICK 160_i)</t>
  </si>
  <si>
    <t>AFP110DFP / DFR (WAVE RSX DRUM)</t>
  </si>
  <si>
    <t>AFP110SFP / SFR (WAVE RSX DISC)</t>
  </si>
  <si>
    <t>12/20/2023</t>
  </si>
  <si>
    <t>MC-2023-066</t>
  </si>
  <si>
    <t>01/23/2024</t>
  </si>
  <si>
    <t>MC-2024-003</t>
  </si>
  <si>
    <t>WINNER X - STANDARD       (FS150FR)</t>
  </si>
  <si>
    <t>WINNER X - ABS PREMIUM (FS150FAR) 50% DP</t>
  </si>
  <si>
    <t>WINNER X - ABS RACING    (FS150FARII) 50% DP</t>
  </si>
  <si>
    <t>CRF450R (CRF450RP)</t>
  </si>
  <si>
    <t>MC-2024-004</t>
  </si>
  <si>
    <r>
      <rPr>
        <b/>
        <i/>
        <sz val="8"/>
        <rFont val="Arial"/>
        <family val="2"/>
      </rPr>
      <t xml:space="preserve">SNIPER 155 BAY6 </t>
    </r>
    <r>
      <rPr>
        <b/>
        <sz val="8"/>
        <rFont val="Arial"/>
        <family val="2"/>
      </rPr>
      <t xml:space="preserve">(BAY600-010A / 010B) 50% </t>
    </r>
    <r>
      <rPr>
        <b/>
        <i/>
        <sz val="8"/>
        <rFont val="Arial"/>
        <family val="2"/>
      </rPr>
      <t>NEW</t>
    </r>
  </si>
  <si>
    <t>03/25/2024</t>
  </si>
  <si>
    <t>MB-2024-005</t>
  </si>
  <si>
    <t>MB-2024-006</t>
  </si>
  <si>
    <r>
      <rPr>
        <b/>
        <i/>
        <sz val="8"/>
        <rFont val="Arial"/>
        <family val="2"/>
      </rPr>
      <t xml:space="preserve">SNIPER 155R BSP1 </t>
    </r>
    <r>
      <rPr>
        <b/>
        <sz val="8"/>
        <rFont val="Arial"/>
        <family val="2"/>
      </rPr>
      <t xml:space="preserve">(BSP100-010A) 50% </t>
    </r>
    <r>
      <rPr>
        <b/>
        <i/>
        <sz val="8"/>
        <rFont val="Arial"/>
        <family val="2"/>
      </rPr>
      <t>NEW</t>
    </r>
  </si>
  <si>
    <t>ACB125 CBFSII (STANDARD)</t>
  </si>
  <si>
    <t>04/02/2024</t>
  </si>
  <si>
    <t>MB-2024-007</t>
  </si>
  <si>
    <t>ACB125 CBFS4 (SPECIAL EDITION)</t>
  </si>
  <si>
    <t>MB-2024-008</t>
  </si>
  <si>
    <t>MIO FAZZIO (BRV500-010A/010C) without Y-connect</t>
  </si>
  <si>
    <t>04/05/2024</t>
  </si>
  <si>
    <t>MB-2024-010</t>
  </si>
  <si>
    <t>MIO GRAVIS (BKV200-010/010B/010C) without Y-connect</t>
  </si>
  <si>
    <t>MB-2024-009</t>
  </si>
  <si>
    <t>PG-1 (BNR100-010A)</t>
  </si>
  <si>
    <t>TMX125A CCG125WHF/WHJ/MII/SII</t>
  </si>
  <si>
    <t>05/07/2024</t>
  </si>
  <si>
    <t>MB-2024-013</t>
  </si>
  <si>
    <t>XMAX(BKAK00 - 010B / 010C ) 50%DP (24MOS.)</t>
  </si>
  <si>
    <t>MB-2024-012</t>
  </si>
  <si>
    <r>
      <t>CT 100   (</t>
    </r>
    <r>
      <rPr>
        <b/>
        <sz val="8"/>
        <rFont val="Arial"/>
        <family val="2"/>
      </rPr>
      <t>CA100AA</t>
    </r>
    <r>
      <rPr>
        <b/>
        <sz val="9"/>
        <rFont val="Arial"/>
        <family val="2"/>
      </rPr>
      <t>)</t>
    </r>
  </si>
  <si>
    <t>06/08/2024</t>
  </si>
  <si>
    <t>MB-2024-016</t>
  </si>
  <si>
    <t>BeAT Premium (ACH110CBFS3 - MG / PW)</t>
  </si>
  <si>
    <t>BeAT Playful (ACH110CBFS- PG/RD/PNB/YW)</t>
  </si>
  <si>
    <t>SMASH115 SPOKES (FW110D-G/D-D1 ) F'DRUM/R'DRUM</t>
  </si>
  <si>
    <t>07/01/2024</t>
  </si>
  <si>
    <t>MB-2024-017</t>
  </si>
  <si>
    <r>
      <t xml:space="preserve">SMASH115 MAGS (FW110SC-D) </t>
    </r>
    <r>
      <rPr>
        <b/>
        <i/>
        <sz val="8"/>
        <rFont val="Arial"/>
        <family val="2"/>
      </rPr>
      <t>F'DISC/R'DRUM</t>
    </r>
  </si>
  <si>
    <t>MB-2024-018</t>
  </si>
  <si>
    <t>MB-2024-019</t>
  </si>
  <si>
    <t>MB-2024-020</t>
  </si>
  <si>
    <t>MB-2024-021</t>
  </si>
  <si>
    <r>
      <t>RAIDER150 (</t>
    </r>
    <r>
      <rPr>
        <b/>
        <sz val="9"/>
        <rFont val="Arial"/>
        <family val="2"/>
      </rPr>
      <t>FU150CD3-7</t>
    </r>
    <r>
      <rPr>
        <sz val="9"/>
        <rFont val="Arial"/>
        <family val="2"/>
      </rPr>
      <t>)</t>
    </r>
    <r>
      <rPr>
        <b/>
        <sz val="8"/>
        <rFont val="Arial"/>
        <family val="2"/>
      </rPr>
      <t>NEW</t>
    </r>
  </si>
  <si>
    <t xml:space="preserve"> MB-2024-022</t>
  </si>
  <si>
    <t>MB-2024-023</t>
  </si>
  <si>
    <r>
      <t>SKYDRIVESPORT FI (</t>
    </r>
    <r>
      <rPr>
        <b/>
        <sz val="9"/>
        <rFont val="Arial"/>
        <family val="2"/>
      </rPr>
      <t>UX110NE-5B</t>
    </r>
    <r>
      <rPr>
        <sz val="9"/>
        <rFont val="Arial"/>
        <family val="2"/>
      </rPr>
      <t>)</t>
    </r>
  </si>
  <si>
    <t>MB-2024-024</t>
  </si>
  <si>
    <t>07/13/2024</t>
  </si>
  <si>
    <t>MB-2024-026</t>
  </si>
  <si>
    <r>
      <rPr>
        <b/>
        <i/>
        <sz val="8"/>
        <rFont val="Arial"/>
        <family val="2"/>
      </rPr>
      <t xml:space="preserve">CFT125MRL / MRM / MRP /MRS DSX </t>
    </r>
    <r>
      <rPr>
        <i/>
        <sz val="8"/>
        <rFont val="Arial"/>
        <family val="2"/>
      </rPr>
      <t>(</t>
    </r>
    <r>
      <rPr>
        <b/>
        <i/>
        <sz val="8"/>
        <rFont val="Arial"/>
        <family val="2"/>
      </rPr>
      <t xml:space="preserve">DUAL SPORTS EXTREME </t>
    </r>
    <r>
      <rPr>
        <i/>
        <sz val="8"/>
        <rFont val="Arial"/>
        <family val="2"/>
      </rPr>
      <t>)</t>
    </r>
  </si>
  <si>
    <t>7/13/2024</t>
  </si>
  <si>
    <t>MC-2024-027</t>
  </si>
  <si>
    <t>YZF-R3 (BVJJ00-010A) '24 YEAR MODEL (24mos) 50% NEW</t>
  </si>
  <si>
    <t>MB-2024-028</t>
  </si>
  <si>
    <t>MB-2023-038</t>
  </si>
  <si>
    <r>
      <t xml:space="preserve">MT-15 (B8D2/B8D5/B8D8) </t>
    </r>
    <r>
      <rPr>
        <b/>
        <i/>
        <sz val="9"/>
        <rFont val="Arial"/>
        <family val="2"/>
      </rPr>
      <t>NEW 50%DP</t>
    </r>
  </si>
  <si>
    <r>
      <t xml:space="preserve">MT-15 (B8DB00-010B/010C) </t>
    </r>
    <r>
      <rPr>
        <b/>
        <i/>
        <sz val="9"/>
        <rFont val="Arial"/>
        <family val="2"/>
      </rPr>
      <t>NEW 50%DP</t>
    </r>
  </si>
  <si>
    <t>CFT125MSK / MSL / MSM / MSP / MSS DS (DUAL SPORT)</t>
  </si>
  <si>
    <r>
      <t>CFT125</t>
    </r>
    <r>
      <rPr>
        <b/>
        <i/>
        <sz val="9"/>
        <rFont val="Arial"/>
        <family val="2"/>
      </rPr>
      <t>MRCK/MRCL / MRCM / MRCP / MRCS</t>
    </r>
    <r>
      <rPr>
        <sz val="9"/>
        <rFont val="Arial"/>
        <family val="2"/>
      </rPr>
      <t xml:space="preserve"> (</t>
    </r>
    <r>
      <rPr>
        <b/>
        <i/>
        <sz val="9"/>
        <rFont val="Arial"/>
        <family val="2"/>
      </rPr>
      <t>Motard Fi</t>
    </r>
    <r>
      <rPr>
        <sz val="9"/>
        <rFont val="Arial"/>
        <family val="2"/>
      </rPr>
      <t>)</t>
    </r>
  </si>
  <si>
    <t>RS125 21YM (ZN125MM) / RS125 (ZN125MS)</t>
  </si>
  <si>
    <t>08/22/2024</t>
  </si>
  <si>
    <t>MC-2024-049</t>
  </si>
  <si>
    <t>ACB160CBTS (CLICK 160_i)</t>
  </si>
  <si>
    <t>09/24/2024</t>
  </si>
  <si>
    <t>MB-2024-029</t>
  </si>
  <si>
    <r>
      <rPr>
        <sz val="9"/>
        <rFont val="Arial"/>
        <family val="2"/>
      </rPr>
      <t>GIXXER SF155</t>
    </r>
    <r>
      <rPr>
        <sz val="8"/>
        <rFont val="Arial"/>
        <family val="2"/>
      </rPr>
      <t xml:space="preserve"> </t>
    </r>
    <r>
      <rPr>
        <b/>
        <i/>
        <sz val="7"/>
        <rFont val="Arial"/>
        <family val="2"/>
      </rPr>
      <t xml:space="preserve">SPORTS FULL-FAIRED </t>
    </r>
    <r>
      <rPr>
        <b/>
        <sz val="8"/>
        <rFont val="Arial"/>
        <family val="2"/>
      </rPr>
      <t>(GSX150FRFX-8/FRF-8)</t>
    </r>
    <r>
      <rPr>
        <b/>
        <sz val="7"/>
        <rFont val="Arial"/>
        <family val="2"/>
      </rPr>
      <t xml:space="preserve"> 50%</t>
    </r>
  </si>
  <si>
    <t>10/31/2024</t>
  </si>
  <si>
    <t>MB-2024-030</t>
  </si>
  <si>
    <t xml:space="preserve">  </t>
  </si>
  <si>
    <t>MB-MKTG2024-31</t>
  </si>
  <si>
    <r>
      <t xml:space="preserve">GIXXER 150FI  </t>
    </r>
    <r>
      <rPr>
        <b/>
        <sz val="9"/>
        <rFont val="Arial"/>
        <family val="2"/>
      </rPr>
      <t xml:space="preserve">(GSX150RFZ / RF-6 / RF-8 ) </t>
    </r>
    <r>
      <rPr>
        <sz val="9"/>
        <rFont val="Arial"/>
        <family val="2"/>
      </rPr>
      <t xml:space="preserve"> 50%</t>
    </r>
  </si>
  <si>
    <t>11/13/2024</t>
  </si>
  <si>
    <t>MB-2024-032</t>
  </si>
  <si>
    <t>HONDA EM1 e (EVP1P)</t>
  </si>
  <si>
    <t>MIO FAZZIO (BRV400-010A/010B/010C)</t>
  </si>
  <si>
    <t>MB-2024-033</t>
  </si>
  <si>
    <t>XTZ125 (2MC3 / 2MC5 / 2MC6 / 2MC7)</t>
  </si>
  <si>
    <t>01/13/2025</t>
  </si>
  <si>
    <t>MB-2025-002</t>
  </si>
  <si>
    <t>BRUSKY125 (SN125ZRFNN)</t>
  </si>
  <si>
    <t>MB-2025-001</t>
  </si>
  <si>
    <t>ACF125CBS (GIORNO+)</t>
  </si>
  <si>
    <r>
      <t>KLX150 (KRAAN)</t>
    </r>
    <r>
      <rPr>
        <b/>
        <sz val="8"/>
        <rFont val="Arial"/>
        <family val="2"/>
      </rPr>
      <t>(24 mos. 50%)</t>
    </r>
  </si>
  <si>
    <t>02/26/2025</t>
  </si>
  <si>
    <t>MB-2025-004</t>
  </si>
  <si>
    <t>03/03/2025</t>
  </si>
  <si>
    <t>MB-2025-008</t>
  </si>
  <si>
    <t>03/03/2024</t>
  </si>
  <si>
    <t>MB-2025-007</t>
  </si>
  <si>
    <r>
      <rPr>
        <b/>
        <sz val="7.5"/>
        <rFont val="Arial"/>
        <family val="2"/>
      </rPr>
      <t>Barako 175 II DUAL START (BC175NSFNN</t>
    </r>
    <r>
      <rPr>
        <b/>
        <sz val="8"/>
        <rFont val="Arial"/>
        <family val="2"/>
      </rPr>
      <t>)</t>
    </r>
  </si>
  <si>
    <t>MB-2025-006</t>
  </si>
  <si>
    <t>Barako 175 II KICK START  (BC175MSFNN)</t>
  </si>
  <si>
    <t>MB-2025-005</t>
  </si>
  <si>
    <t>KLX150S (LX150L )(24 mos. 50%)</t>
  </si>
  <si>
    <t>03/10/2025</t>
  </si>
  <si>
    <t>MB-2025-012</t>
  </si>
  <si>
    <t>MB-2025-011</t>
  </si>
  <si>
    <t>MB-2025-010</t>
  </si>
  <si>
    <t>MB-2025-009</t>
  </si>
  <si>
    <r>
      <t xml:space="preserve">NMAX TECH MAX  Y-Connect (BTU1- 010A/010B ) </t>
    </r>
    <r>
      <rPr>
        <b/>
        <sz val="8"/>
        <rFont val="Arial"/>
        <family val="2"/>
      </rPr>
      <t>NEW 50% DP</t>
    </r>
  </si>
  <si>
    <r>
      <t xml:space="preserve">NMAX MAX            Y-Connect (BUA1- 010A/010B ) </t>
    </r>
    <r>
      <rPr>
        <b/>
        <sz val="8"/>
        <rFont val="Arial"/>
        <family val="2"/>
      </rPr>
      <t>NEW 50% DP</t>
    </r>
  </si>
  <si>
    <t xml:space="preserve">XSR155 (BBS600 / BBSB00 / BBSE00) </t>
  </si>
  <si>
    <t>WR155R (B3M600 / B3MB00 / B3MH00 ) 50% DP NEW</t>
  </si>
  <si>
    <t>MSD-25-015</t>
  </si>
  <si>
    <t>03/14/2025</t>
  </si>
  <si>
    <t>MSB-25-012</t>
  </si>
  <si>
    <t>MIO GRAVIS (BKV300-010A/010B)  Y-connect</t>
  </si>
  <si>
    <t>03/27/2025</t>
  </si>
  <si>
    <t>MB-2025-013</t>
  </si>
  <si>
    <t>03/31/2025</t>
  </si>
  <si>
    <t>MB-2025-014</t>
  </si>
  <si>
    <t xml:space="preserve">XR150L (XR150LEKS / XR150LEKSII) </t>
  </si>
  <si>
    <t xml:space="preserve">CBR150R (CBR150 RAPIV / RASVII) (24mos.) 50% </t>
  </si>
  <si>
    <r>
      <rPr>
        <b/>
        <sz val="9"/>
        <rFont val="Arial"/>
        <family val="2"/>
      </rPr>
      <t>CRF300L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CRF300LM/LP/LS</t>
    </r>
    <r>
      <rPr>
        <sz val="9"/>
        <rFont val="Arial"/>
        <family val="2"/>
      </rPr>
      <t xml:space="preserve">) 24 mos. </t>
    </r>
    <r>
      <rPr>
        <b/>
        <sz val="9"/>
        <rFont val="Arial"/>
        <family val="2"/>
      </rPr>
      <t>50%</t>
    </r>
  </si>
  <si>
    <t>04/14/2025</t>
  </si>
  <si>
    <t>MC-2025-018</t>
  </si>
  <si>
    <r>
      <rPr>
        <b/>
        <sz val="9"/>
        <rFont val="Arial"/>
        <family val="2"/>
      </rPr>
      <t>CRF300 RALLY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CRF300LRM/LRP/LRS</t>
    </r>
    <r>
      <rPr>
        <sz val="9"/>
        <rFont val="Arial"/>
        <family val="2"/>
      </rPr>
      <t xml:space="preserve">) 24 mos. </t>
    </r>
    <r>
      <rPr>
        <b/>
        <sz val="9"/>
        <rFont val="Arial"/>
        <family val="2"/>
      </rPr>
      <t>50%</t>
    </r>
  </si>
  <si>
    <t>MB-2025-019</t>
  </si>
  <si>
    <t>XMAX(BSS600 - 010B / 010C) 50%DP (24MOS.)</t>
  </si>
  <si>
    <t>MB-2025-015</t>
  </si>
  <si>
    <t>04/21/2025</t>
  </si>
  <si>
    <r>
      <t xml:space="preserve">MT-15 (B8DE00-010B/010C) </t>
    </r>
    <r>
      <rPr>
        <b/>
        <i/>
        <sz val="9"/>
        <rFont val="Arial"/>
        <family val="2"/>
      </rPr>
      <t>NEW 50%DP</t>
    </r>
  </si>
  <si>
    <t>MB-2025-016</t>
  </si>
  <si>
    <t>ACB125 CBFTII (CLICK125 STANDARD) NEW</t>
  </si>
  <si>
    <t>ACB125 CBFTIV (CLICK125 SPECIAL EDITION) NEW</t>
  </si>
  <si>
    <t>05/14/2025</t>
  </si>
  <si>
    <t>PCX160 STANDARD (WW160S)</t>
  </si>
  <si>
    <t>05/29/2025</t>
  </si>
  <si>
    <t>MB-2025-024</t>
  </si>
  <si>
    <t>PCX160 ROADSYNC (WW160SS)</t>
  </si>
  <si>
    <t>MB-2025-023</t>
  </si>
  <si>
    <t>BARAKO III ELECTRIC START (BC175LMFNN/LPFNN/LSFNN)</t>
  </si>
  <si>
    <r>
      <t xml:space="preserve">MT-03  (B5W5 / B5WB00 / B5WF00 ) </t>
    </r>
    <r>
      <rPr>
        <b/>
        <i/>
        <sz val="9"/>
        <rFont val="Arial"/>
        <family val="2"/>
      </rPr>
      <t>NEW 50%DP</t>
    </r>
  </si>
  <si>
    <r>
      <t xml:space="preserve">MT-03  ( BRGE00 - 010B / 010C ) </t>
    </r>
    <r>
      <rPr>
        <b/>
        <i/>
        <sz val="9"/>
        <rFont val="Arial"/>
        <family val="2"/>
      </rPr>
      <t>NEW 50%DP</t>
    </r>
  </si>
  <si>
    <t>MB-2025-021</t>
  </si>
  <si>
    <t>YZF-R3 (BRAE00-010A) (24mos) 50% NEW</t>
  </si>
  <si>
    <t>MB-2025-020</t>
  </si>
  <si>
    <t>05/30/2025</t>
  </si>
  <si>
    <t>MB-2025-022</t>
  </si>
  <si>
    <t>ADV350  (ADV350ASIII) 50%</t>
  </si>
  <si>
    <t>07/05/2025</t>
  </si>
  <si>
    <t>MB-2025-025</t>
  </si>
  <si>
    <t>KLX140   (LX140CTFNN)</t>
  </si>
  <si>
    <t>MB-2025-026</t>
  </si>
  <si>
    <t>KLX150   (LX150KTAAN)(24 mos. 50%)</t>
  </si>
  <si>
    <t>07/16/2025</t>
  </si>
  <si>
    <t>MB-2025-028</t>
  </si>
  <si>
    <r>
      <t xml:space="preserve">MIO AEROX SP (D55100-010A/010B/010C) </t>
    </r>
    <r>
      <rPr>
        <b/>
        <i/>
        <sz val="7.5"/>
        <rFont val="Arial"/>
        <family val="2"/>
      </rPr>
      <t>50%</t>
    </r>
  </si>
  <si>
    <t>MIO AEROX (D54100-010A/010B/010C)</t>
  </si>
  <si>
    <t>MB-2025-027</t>
  </si>
  <si>
    <t>07/23/2025</t>
  </si>
  <si>
    <t>MB-2025-029</t>
  </si>
  <si>
    <t>MB-2025-030</t>
  </si>
  <si>
    <t>MB-2025-031</t>
  </si>
  <si>
    <t>MB-2025-032</t>
  </si>
  <si>
    <t>07/24/2025</t>
  </si>
  <si>
    <t>MB-2025-033</t>
  </si>
  <si>
    <t>MB-2025-034</t>
  </si>
  <si>
    <t>MB-2025-035</t>
  </si>
  <si>
    <t>MB-2025-036</t>
  </si>
  <si>
    <t>NAVi (NVA110BTII)</t>
  </si>
  <si>
    <t>BeAT Premium (ACH110CBFT3 - MG / PW / MSS)</t>
  </si>
  <si>
    <t>08/13/2025</t>
  </si>
  <si>
    <t>MB-2025-040</t>
  </si>
  <si>
    <t>BeAT Playful (ACH110CBFT- PG/RD/PTP)</t>
  </si>
  <si>
    <t>MB-2025-039</t>
  </si>
  <si>
    <t>MB-2025-041</t>
  </si>
  <si>
    <t>09/02/2025</t>
  </si>
  <si>
    <t>ACCESS 125 (UZ125NEY)</t>
  </si>
  <si>
    <t>MB-2025-042</t>
  </si>
  <si>
    <t>ACCESS 125 RIDE CONNECT EDITION (UZ125NES)</t>
  </si>
  <si>
    <t>MB-2025-043</t>
  </si>
  <si>
    <r>
      <rPr>
        <b/>
        <sz val="9"/>
        <rFont val="Arial"/>
        <family val="2"/>
      </rPr>
      <t>CRF250R</t>
    </r>
    <r>
      <rPr>
        <sz val="8"/>
        <rFont val="Arial"/>
        <family val="2"/>
      </rPr>
      <t xml:space="preserve"> (</t>
    </r>
    <r>
      <rPr>
        <b/>
        <sz val="8"/>
        <rFont val="Arial"/>
        <family val="2"/>
      </rPr>
      <t>CRF250RS</t>
    </r>
    <r>
      <rPr>
        <sz val="8"/>
        <rFont val="Arial"/>
        <family val="2"/>
      </rPr>
      <t>)</t>
    </r>
  </si>
  <si>
    <t>09/18/2025</t>
  </si>
  <si>
    <t>MB-2025-044</t>
  </si>
  <si>
    <r>
      <rPr>
        <b/>
        <sz val="9"/>
        <rFont val="Arial"/>
        <family val="2"/>
      </rPr>
      <t>CRF250RX</t>
    </r>
    <r>
      <rPr>
        <sz val="8"/>
        <rFont val="Arial"/>
        <family val="2"/>
      </rPr>
      <t xml:space="preserve"> (</t>
    </r>
    <r>
      <rPr>
        <b/>
        <sz val="8"/>
        <rFont val="Arial"/>
        <family val="2"/>
      </rPr>
      <t>CRF250RXS</t>
    </r>
    <r>
      <rPr>
        <sz val="8"/>
        <rFont val="Arial"/>
        <family val="2"/>
      </rPr>
      <t>)</t>
    </r>
  </si>
  <si>
    <t>MB-2025-045</t>
  </si>
  <si>
    <t>YZF-R15M (BNE400-010A) / (BNE500-010A) 50%DP NEW</t>
  </si>
  <si>
    <t>09/19/2025</t>
  </si>
  <si>
    <t>MB-2024-031 / SEPT.2025</t>
  </si>
  <si>
    <r>
      <rPr>
        <b/>
        <sz val="9"/>
        <rFont val="Arial"/>
        <family val="2"/>
      </rPr>
      <t>CRF150R</t>
    </r>
    <r>
      <rPr>
        <sz val="9"/>
        <rFont val="Arial"/>
        <family val="2"/>
      </rPr>
      <t xml:space="preserve"> (</t>
    </r>
    <r>
      <rPr>
        <b/>
        <sz val="9"/>
        <rFont val="Arial"/>
        <family val="2"/>
      </rPr>
      <t>CRF150RBN</t>
    </r>
    <r>
      <rPr>
        <sz val="9"/>
        <rFont val="Arial"/>
        <family val="2"/>
      </rPr>
      <t>)</t>
    </r>
  </si>
  <si>
    <t>09/29/2025</t>
  </si>
  <si>
    <t>MB-2025-046</t>
  </si>
  <si>
    <r>
      <t>RAIDER R150 PRO (</t>
    </r>
    <r>
      <rPr>
        <b/>
        <sz val="9"/>
        <rFont val="Arial"/>
        <family val="2"/>
      </rPr>
      <t>FU150RL-9</t>
    </r>
    <r>
      <rPr>
        <sz val="9"/>
        <rFont val="Arial"/>
        <family val="2"/>
      </rPr>
      <t>)</t>
    </r>
    <r>
      <rPr>
        <b/>
        <sz val="8"/>
        <rFont val="Arial"/>
        <family val="2"/>
      </rPr>
      <t>NEW</t>
    </r>
  </si>
  <si>
    <t>10/13/2025</t>
  </si>
  <si>
    <t xml:space="preserve"> MB-2025-048</t>
  </si>
  <si>
    <t>UPDATE: OCTBER 13, 2025  11:30 AM BY: I.T. DEPT.</t>
  </si>
  <si>
    <r>
      <t>RAIDER R150 BLADE EDITION (</t>
    </r>
    <r>
      <rPr>
        <b/>
        <sz val="9"/>
        <rFont val="Arial"/>
        <family val="2"/>
      </rPr>
      <t>FU150RF-9</t>
    </r>
    <r>
      <rPr>
        <sz val="9"/>
        <rFont val="Arial"/>
        <family val="2"/>
      </rPr>
      <t>)</t>
    </r>
    <r>
      <rPr>
        <b/>
        <sz val="8"/>
        <rFont val="Arial"/>
        <family val="2"/>
      </rPr>
      <t>NEW</t>
    </r>
  </si>
  <si>
    <t xml:space="preserve"> MB-2025-047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</si>
</sst>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mm/dd/yy;@"/>
    <numFmt numFmtId="167" formatCode="0.0000"/>
  </numFmts>
  <fonts count="48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0"/>
      <name val="Arial"/>
      <family val="2"/>
    </font>
    <font>
      <sz val="11"/>
      <color rgb="FF002060"/>
      <name val="Arial"/>
      <family val="2"/>
    </font>
    <font>
      <b/>
      <sz val="9"/>
      <color theme="0"/>
      <name val="Arial"/>
      <family val="2"/>
    </font>
    <font>
      <sz val="9"/>
      <color rgb="FF7030A0"/>
      <name val="Arial"/>
      <family val="2"/>
    </font>
    <font>
      <b/>
      <sz val="11"/>
      <color theme="0"/>
      <name val="Arial"/>
      <family val="2"/>
    </font>
    <font>
      <b/>
      <i/>
      <sz val="9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4"/>
      <color rgb="FF00B050"/>
      <name val="Arial"/>
      <family val="2"/>
    </font>
    <font>
      <b/>
      <sz val="14"/>
      <color rgb="FF00206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i/>
      <sz val="9"/>
      <color rgb="FFFF0000"/>
      <name val="Arial"/>
      <family val="2"/>
    </font>
    <font>
      <sz val="8"/>
      <color rgb="FFFF0000"/>
      <name val="Arial"/>
      <family val="2"/>
    </font>
    <font>
      <sz val="8"/>
      <color theme="0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i/>
      <sz val="8"/>
      <name val="Arial"/>
      <family val="2"/>
      <charset val="204"/>
    </font>
    <font>
      <b/>
      <i/>
      <sz val="9"/>
      <name val="Arial"/>
      <family val="2"/>
      <charset val="204"/>
    </font>
    <font>
      <b/>
      <sz val="9"/>
      <name val="Arial"/>
      <family val="2"/>
      <charset val="204"/>
    </font>
    <font>
      <b/>
      <sz val="9"/>
      <color rgb="FFFFFF00"/>
      <name val="Arial"/>
      <family val="2"/>
    </font>
    <font>
      <b/>
      <sz val="9"/>
      <color rgb="FFFFFF0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i/>
      <sz val="9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7.5"/>
      <name val="Arial"/>
      <family val="2"/>
    </font>
    <font>
      <b/>
      <i/>
      <sz val="7.5"/>
      <name val="Arial"/>
      <family val="2"/>
    </font>
    <font>
      <b/>
      <sz val="9"/>
      <color theme="9"/>
      <name val="Arial"/>
      <family val="2"/>
      <charset val="204"/>
    </font>
    <font>
      <b/>
      <sz val="9"/>
      <color rgb="FFFF0000"/>
      <name val="Arial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theme="0"/>
      <name val="Arial"/>
      <family val="2"/>
    </font>
    <font>
      <b/>
      <i/>
      <sz val="7"/>
      <name val="Arial"/>
      <family val="2"/>
    </font>
    <font>
      <i/>
      <sz val="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CADFF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2020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9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3" fontId="6" fillId="0" borderId="0" xfId="1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0" borderId="0" xfId="1" applyNumberFormat="1" applyFont="1" applyAlignment="1" applyProtection="1">
      <alignment horizontal="center" vertical="center"/>
      <protection locked="0"/>
    </xf>
    <xf numFmtId="3" fontId="1" fillId="6" borderId="0" xfId="1" applyNumberFormat="1" applyFont="1" applyFill="1" applyAlignment="1" applyProtection="1">
      <alignment horizontal="center" vertical="center"/>
      <protection locked="0"/>
    </xf>
    <xf numFmtId="3" fontId="2" fillId="6" borderId="0" xfId="1" applyNumberFormat="1" applyFont="1" applyFill="1" applyAlignment="1">
      <alignment horizontal="center" vertical="center"/>
    </xf>
    <xf numFmtId="3" fontId="6" fillId="6" borderId="0" xfId="1" applyNumberFormat="1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3" fontId="2" fillId="7" borderId="1" xfId="1" applyNumberFormat="1" applyFont="1" applyFill="1" applyBorder="1" applyAlignment="1">
      <alignment horizontal="center" vertical="center"/>
    </xf>
    <xf numFmtId="3" fontId="1" fillId="7" borderId="1" xfId="1" applyNumberFormat="1" applyFont="1" applyFill="1" applyBorder="1" applyAlignment="1" applyProtection="1">
      <alignment horizontal="center" vertical="center"/>
      <protection locked="0"/>
    </xf>
    <xf numFmtId="3" fontId="1" fillId="4" borderId="1" xfId="1" applyNumberFormat="1" applyFont="1" applyFill="1" applyBorder="1" applyAlignment="1" applyProtection="1">
      <alignment horizontal="center" vertical="center"/>
      <protection locked="0"/>
    </xf>
    <xf numFmtId="3" fontId="2" fillId="4" borderId="1" xfId="1" applyNumberFormat="1" applyFont="1" applyFill="1" applyBorder="1" applyAlignment="1">
      <alignment horizontal="center" vertical="center"/>
    </xf>
    <xf numFmtId="3" fontId="1" fillId="8" borderId="1" xfId="1" applyNumberFormat="1" applyFont="1" applyFill="1" applyBorder="1" applyAlignment="1" applyProtection="1">
      <alignment horizontal="center" vertical="center"/>
      <protection locked="0"/>
    </xf>
    <xf numFmtId="3" fontId="2" fillId="8" borderId="1" xfId="1" applyNumberFormat="1" applyFont="1" applyFill="1" applyBorder="1" applyAlignment="1">
      <alignment horizontal="center" vertical="center"/>
    </xf>
    <xf numFmtId="3" fontId="1" fillId="3" borderId="1" xfId="1" applyNumberFormat="1" applyFont="1" applyFill="1" applyBorder="1" applyAlignment="1" applyProtection="1">
      <alignment horizontal="center" vertical="center"/>
      <protection locked="0"/>
    </xf>
    <xf numFmtId="3" fontId="2" fillId="3" borderId="1" xfId="1" applyNumberFormat="1" applyFont="1" applyFill="1" applyBorder="1" applyAlignment="1">
      <alignment horizontal="center" vertical="center"/>
    </xf>
    <xf numFmtId="3" fontId="2" fillId="6" borderId="1" xfId="1" applyNumberFormat="1" applyFont="1" applyFill="1" applyBorder="1" applyAlignment="1">
      <alignment horizontal="center" vertical="center"/>
    </xf>
    <xf numFmtId="3" fontId="8" fillId="6" borderId="1" xfId="1" applyNumberFormat="1" applyFont="1" applyFill="1" applyBorder="1" applyAlignment="1" applyProtection="1">
      <alignment horizontal="center" vertical="center"/>
      <protection locked="0"/>
    </xf>
    <xf numFmtId="3" fontId="6" fillId="6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3" fillId="0" borderId="0" xfId="0" applyFont="1"/>
    <xf numFmtId="164" fontId="14" fillId="0" borderId="0" xfId="1" applyFont="1" applyAlignment="1">
      <alignment horizontal="center"/>
    </xf>
    <xf numFmtId="164" fontId="15" fillId="0" borderId="0" xfId="1" applyFont="1"/>
    <xf numFmtId="0" fontId="16" fillId="0" borderId="0" xfId="0" applyFont="1"/>
    <xf numFmtId="164" fontId="17" fillId="0" borderId="0" xfId="1" applyFont="1"/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5" fontId="14" fillId="0" borderId="0" xfId="1" applyNumberFormat="1" applyFont="1" applyAlignment="1">
      <alignment horizontal="center"/>
    </xf>
    <xf numFmtId="164" fontId="18" fillId="0" borderId="0" xfId="0" applyNumberFormat="1" applyFont="1"/>
    <xf numFmtId="165" fontId="13" fillId="0" borderId="0" xfId="1" applyNumberFormat="1" applyFont="1" applyAlignment="1">
      <alignment horizontal="left" indent="1"/>
    </xf>
    <xf numFmtId="164" fontId="13" fillId="0" borderId="0" xfId="1" applyFont="1"/>
    <xf numFmtId="0" fontId="13" fillId="0" borderId="0" xfId="0" applyFont="1" applyAlignment="1">
      <alignment horizontal="left"/>
    </xf>
    <xf numFmtId="164" fontId="0" fillId="0" borderId="0" xfId="1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64" fontId="0" fillId="0" borderId="0" xfId="0" applyNumberFormat="1"/>
    <xf numFmtId="3" fontId="1" fillId="7" borderId="0" xfId="1" applyNumberFormat="1" applyFont="1" applyFill="1" applyAlignment="1" applyProtection="1">
      <alignment horizontal="center" vertical="center"/>
      <protection locked="0"/>
    </xf>
    <xf numFmtId="3" fontId="2" fillId="7" borderId="0" xfId="1" applyNumberFormat="1" applyFont="1" applyFill="1" applyAlignment="1">
      <alignment horizontal="center" vertical="center"/>
    </xf>
    <xf numFmtId="3" fontId="1" fillId="4" borderId="0" xfId="1" applyNumberFormat="1" applyFont="1" applyFill="1" applyAlignment="1" applyProtection="1">
      <alignment horizontal="center" vertical="center"/>
      <protection locked="0"/>
    </xf>
    <xf numFmtId="3" fontId="2" fillId="4" borderId="0" xfId="1" applyNumberFormat="1" applyFont="1" applyFill="1" applyAlignment="1">
      <alignment horizontal="center" vertical="center"/>
    </xf>
    <xf numFmtId="3" fontId="1" fillId="8" borderId="0" xfId="1" applyNumberFormat="1" applyFont="1" applyFill="1" applyAlignment="1" applyProtection="1">
      <alignment horizontal="center" vertical="center"/>
      <protection locked="0"/>
    </xf>
    <xf numFmtId="3" fontId="2" fillId="8" borderId="0" xfId="1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66" fontId="23" fillId="16" borderId="0" xfId="0" applyNumberFormat="1" applyFont="1" applyFill="1" applyAlignment="1">
      <alignment horizontal="center" vertical="center"/>
    </xf>
    <xf numFmtId="166" fontId="23" fillId="4" borderId="0" xfId="0" applyNumberFormat="1" applyFont="1" applyFill="1" applyAlignment="1">
      <alignment horizontal="center" vertical="center"/>
    </xf>
    <xf numFmtId="166" fontId="23" fillId="12" borderId="0" xfId="0" applyNumberFormat="1" applyFont="1" applyFill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2" fontId="2" fillId="0" borderId="0" xfId="0" applyNumberFormat="1" applyFont="1" applyAlignment="1">
      <alignment vertical="center"/>
    </xf>
    <xf numFmtId="166" fontId="20" fillId="0" borderId="0" xfId="0" applyNumberFormat="1" applyFont="1" applyAlignment="1">
      <alignment vertical="center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5" borderId="3" xfId="0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3" fontId="1" fillId="7" borderId="5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3" fontId="1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6" fontId="20" fillId="7" borderId="0" xfId="0" applyNumberFormat="1" applyFont="1" applyFill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27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3" fontId="1" fillId="7" borderId="0" xfId="0" applyNumberFormat="1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1" fillId="4" borderId="2" xfId="0" applyFont="1" applyFill="1" applyBorder="1" applyAlignment="1" applyProtection="1">
      <alignment horizontal="center" vertical="center"/>
      <protection locked="0"/>
    </xf>
    <xf numFmtId="3" fontId="1" fillId="4" borderId="5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3" fontId="2" fillId="9" borderId="1" xfId="0" applyNumberFormat="1" applyFont="1" applyFill="1" applyBorder="1" applyAlignment="1">
      <alignment horizontal="center" vertical="center"/>
    </xf>
    <xf numFmtId="2" fontId="2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6" fontId="20" fillId="4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3" fontId="1" fillId="4" borderId="0" xfId="0" applyNumberFormat="1" applyFont="1" applyFill="1" applyAlignment="1">
      <alignment horizontal="center" vertical="center"/>
    </xf>
    <xf numFmtId="3" fontId="2" fillId="9" borderId="0" xfId="0" applyNumberFormat="1" applyFont="1" applyFill="1" applyAlignment="1">
      <alignment horizontal="center" vertical="center"/>
    </xf>
    <xf numFmtId="0" fontId="1" fillId="12" borderId="2" xfId="0" applyFont="1" applyFill="1" applyBorder="1" applyAlignment="1" applyProtection="1">
      <alignment horizontal="center" vertical="center"/>
      <protection locked="0"/>
    </xf>
    <xf numFmtId="3" fontId="2" fillId="8" borderId="5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3" fontId="2" fillId="10" borderId="1" xfId="0" applyNumberFormat="1" applyFont="1" applyFill="1" applyBorder="1" applyAlignment="1">
      <alignment horizontal="center" vertical="center"/>
    </xf>
    <xf numFmtId="2" fontId="2" fillId="10" borderId="0" xfId="0" applyNumberFormat="1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/>
    </xf>
    <xf numFmtId="3" fontId="2" fillId="8" borderId="0" xfId="0" applyNumberFormat="1" applyFont="1" applyFill="1" applyAlignment="1">
      <alignment horizontal="center" vertical="center"/>
    </xf>
    <xf numFmtId="166" fontId="20" fillId="8" borderId="0" xfId="0" applyNumberFormat="1" applyFont="1" applyFill="1" applyAlignment="1">
      <alignment horizontal="center" vertical="center"/>
    </xf>
    <xf numFmtId="0" fontId="11" fillId="8" borderId="1" xfId="0" applyFont="1" applyFill="1" applyBorder="1" applyAlignment="1">
      <alignment vertical="center"/>
    </xf>
    <xf numFmtId="49" fontId="20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vertical="center"/>
    </xf>
    <xf numFmtId="0" fontId="20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3" fontId="2" fillId="3" borderId="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3" fontId="2" fillId="11" borderId="1" xfId="0" applyNumberFormat="1" applyFont="1" applyFill="1" applyBorder="1" applyAlignment="1">
      <alignment horizontal="center" vertical="center"/>
    </xf>
    <xf numFmtId="2" fontId="2" fillId="11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6" fontId="20" fillId="3" borderId="0" xfId="0" applyNumberFormat="1" applyFont="1" applyFill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3" fontId="5" fillId="11" borderId="1" xfId="0" applyNumberFormat="1" applyFont="1" applyFill="1" applyBorder="1" applyAlignment="1">
      <alignment horizontal="center" vertical="center"/>
    </xf>
    <xf numFmtId="2" fontId="5" fillId="11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6" fontId="22" fillId="3" borderId="0" xfId="0" applyNumberFormat="1" applyFont="1" applyFill="1" applyAlignment="1">
      <alignment horizontal="center" vertical="center"/>
    </xf>
    <xf numFmtId="49" fontId="22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9" fillId="11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7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3" fontId="2" fillId="6" borderId="0" xfId="0" applyNumberFormat="1" applyFont="1" applyFill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6" fontId="20" fillId="6" borderId="0" xfId="0" applyNumberFormat="1" applyFont="1" applyFill="1" applyAlignment="1">
      <alignment horizontal="center" vertical="center"/>
    </xf>
    <xf numFmtId="3" fontId="6" fillId="6" borderId="5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3" fontId="6" fillId="6" borderId="0" xfId="0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6" fontId="25" fillId="6" borderId="0" xfId="0" applyNumberFormat="1" applyFont="1" applyFill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9" fontId="20" fillId="3" borderId="0" xfId="0" applyNumberFormat="1" applyFont="1" applyFill="1" applyAlignment="1">
      <alignment horizontal="center" vertical="center"/>
    </xf>
    <xf numFmtId="49" fontId="20" fillId="7" borderId="0" xfId="0" applyNumberFormat="1" applyFont="1" applyFill="1" applyAlignment="1">
      <alignment horizontal="center" vertical="center"/>
    </xf>
    <xf numFmtId="49" fontId="20" fillId="4" borderId="0" xfId="0" applyNumberFormat="1" applyFont="1" applyFill="1" applyAlignment="1">
      <alignment horizontal="center" vertical="center"/>
    </xf>
    <xf numFmtId="3" fontId="1" fillId="17" borderId="5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vertical="center"/>
    </xf>
    <xf numFmtId="3" fontId="1" fillId="17" borderId="1" xfId="1" applyNumberFormat="1" applyFont="1" applyFill="1" applyBorder="1" applyAlignment="1" applyProtection="1">
      <alignment horizontal="center" vertical="center"/>
      <protection locked="0"/>
    </xf>
    <xf numFmtId="3" fontId="2" fillId="17" borderId="1" xfId="1" applyNumberFormat="1" applyFont="1" applyFill="1" applyBorder="1" applyAlignment="1">
      <alignment horizontal="center" vertical="center"/>
    </xf>
    <xf numFmtId="0" fontId="2" fillId="17" borderId="0" xfId="0" applyFont="1" applyFill="1" applyAlignment="1">
      <alignment vertical="center"/>
    </xf>
    <xf numFmtId="3" fontId="1" fillId="17" borderId="1" xfId="0" applyNumberFormat="1" applyFont="1" applyFill="1" applyBorder="1" applyAlignment="1">
      <alignment horizontal="center" vertical="center"/>
    </xf>
    <xf numFmtId="3" fontId="2" fillId="17" borderId="1" xfId="0" applyNumberFormat="1" applyFont="1" applyFill="1" applyBorder="1" applyAlignment="1">
      <alignment horizontal="center" vertical="center"/>
    </xf>
    <xf numFmtId="2" fontId="2" fillId="17" borderId="0" xfId="0" applyNumberFormat="1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166" fontId="20" fillId="17" borderId="0" xfId="0" applyNumberFormat="1" applyFont="1" applyFill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3" fontId="2" fillId="4" borderId="1" xfId="0" quotePrefix="1" applyNumberFormat="1" applyFont="1" applyFill="1" applyBorder="1" applyAlignment="1">
      <alignment horizontal="center" vertical="center"/>
    </xf>
    <xf numFmtId="3" fontId="2" fillId="18" borderId="5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/>
    </xf>
    <xf numFmtId="3" fontId="1" fillId="18" borderId="1" xfId="1" applyNumberFormat="1" applyFont="1" applyFill="1" applyBorder="1" applyAlignment="1" applyProtection="1">
      <alignment horizontal="center" vertical="center"/>
      <protection locked="0"/>
    </xf>
    <xf numFmtId="3" fontId="2" fillId="18" borderId="1" xfId="1" applyNumberFormat="1" applyFont="1" applyFill="1" applyBorder="1" applyAlignment="1">
      <alignment horizontal="center" vertical="center"/>
    </xf>
    <xf numFmtId="0" fontId="2" fillId="18" borderId="0" xfId="0" applyFont="1" applyFill="1" applyAlignment="1">
      <alignment vertical="center"/>
    </xf>
    <xf numFmtId="3" fontId="2" fillId="18" borderId="1" xfId="0" applyNumberFormat="1" applyFont="1" applyFill="1" applyBorder="1" applyAlignment="1">
      <alignment horizontal="center" vertical="center"/>
    </xf>
    <xf numFmtId="2" fontId="2" fillId="18" borderId="0" xfId="0" applyNumberFormat="1" applyFont="1" applyFill="1" applyAlignment="1">
      <alignment horizontal="center" vertical="center"/>
    </xf>
    <xf numFmtId="3" fontId="2" fillId="18" borderId="0" xfId="0" applyNumberFormat="1" applyFont="1" applyFill="1" applyAlignment="1">
      <alignment horizontal="center" vertical="center"/>
    </xf>
    <xf numFmtId="166" fontId="20" fillId="18" borderId="0" xfId="0" applyNumberFormat="1" applyFont="1" applyFill="1" applyAlignment="1">
      <alignment horizontal="center" vertical="center"/>
    </xf>
    <xf numFmtId="0" fontId="9" fillId="18" borderId="0" xfId="0" applyFont="1" applyFill="1" applyAlignment="1">
      <alignment vertical="center"/>
    </xf>
    <xf numFmtId="3" fontId="2" fillId="19" borderId="5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vertical="center"/>
    </xf>
    <xf numFmtId="3" fontId="1" fillId="19" borderId="1" xfId="1" applyNumberFormat="1" applyFont="1" applyFill="1" applyBorder="1" applyAlignment="1" applyProtection="1">
      <alignment horizontal="center" vertical="center"/>
      <protection locked="0"/>
    </xf>
    <xf numFmtId="3" fontId="2" fillId="19" borderId="1" xfId="1" applyNumberFormat="1" applyFont="1" applyFill="1" applyBorder="1" applyAlignment="1">
      <alignment horizontal="center" vertical="center"/>
    </xf>
    <xf numFmtId="0" fontId="2" fillId="19" borderId="0" xfId="0" applyFont="1" applyFill="1" applyAlignment="1">
      <alignment vertical="center"/>
    </xf>
    <xf numFmtId="3" fontId="2" fillId="19" borderId="1" xfId="0" applyNumberFormat="1" applyFont="1" applyFill="1" applyBorder="1" applyAlignment="1">
      <alignment horizontal="center" vertical="center"/>
    </xf>
    <xf numFmtId="2" fontId="2" fillId="19" borderId="0" xfId="0" applyNumberFormat="1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166" fontId="20" fillId="19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vertical="center"/>
    </xf>
    <xf numFmtId="3" fontId="5" fillId="19" borderId="5" xfId="0" applyNumberFormat="1" applyFont="1" applyFill="1" applyBorder="1" applyAlignment="1">
      <alignment horizontal="center" vertical="center"/>
    </xf>
    <xf numFmtId="3" fontId="5" fillId="19" borderId="1" xfId="0" applyNumberFormat="1" applyFont="1" applyFill="1" applyBorder="1" applyAlignment="1">
      <alignment horizontal="center" vertical="center"/>
    </xf>
    <xf numFmtId="2" fontId="5" fillId="19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166" fontId="22" fillId="19" borderId="0" xfId="0" applyNumberFormat="1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3" fontId="1" fillId="4" borderId="0" xfId="1" applyNumberFormat="1" applyFont="1" applyFill="1" applyBorder="1" applyAlignment="1" applyProtection="1">
      <alignment horizontal="center" vertical="center"/>
      <protection locked="0"/>
    </xf>
    <xf numFmtId="3" fontId="2" fillId="4" borderId="0" xfId="1" applyNumberFormat="1" applyFont="1" applyFill="1" applyBorder="1" applyAlignment="1">
      <alignment horizontal="center" vertical="center"/>
    </xf>
    <xf numFmtId="3" fontId="1" fillId="8" borderId="0" xfId="1" applyNumberFormat="1" applyFont="1" applyFill="1" applyBorder="1" applyAlignment="1" applyProtection="1">
      <alignment horizontal="center" vertical="center"/>
      <protection locked="0"/>
    </xf>
    <xf numFmtId="3" fontId="2" fillId="8" borderId="0" xfId="1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 applyProtection="1">
      <alignment horizontal="center" vertical="center"/>
      <protection locked="0"/>
    </xf>
    <xf numFmtId="0" fontId="30" fillId="8" borderId="1" xfId="0" applyFont="1" applyFill="1" applyBorder="1" applyAlignment="1">
      <alignment vertical="center"/>
    </xf>
    <xf numFmtId="0" fontId="32" fillId="9" borderId="0" xfId="0" applyFont="1" applyFill="1" applyAlignment="1">
      <alignment horizontal="center" vertical="center"/>
    </xf>
    <xf numFmtId="0" fontId="31" fillId="3" borderId="1" xfId="0" applyFont="1" applyFill="1" applyBorder="1" applyAlignment="1">
      <alignment vertical="center"/>
    </xf>
    <xf numFmtId="0" fontId="36" fillId="8" borderId="1" xfId="0" applyFont="1" applyFill="1" applyBorder="1" applyAlignment="1">
      <alignment vertical="center"/>
    </xf>
    <xf numFmtId="0" fontId="34" fillId="8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/>
    </xf>
    <xf numFmtId="3" fontId="31" fillId="0" borderId="1" xfId="0" applyNumberFormat="1" applyFont="1" applyBorder="1" applyAlignment="1" applyProtection="1">
      <alignment horizontal="center" vertical="center"/>
      <protection locked="0"/>
    </xf>
    <xf numFmtId="3" fontId="31" fillId="0" borderId="1" xfId="0" applyNumberFormat="1" applyFont="1" applyBorder="1" applyAlignment="1">
      <alignment horizontal="center" vertical="center"/>
    </xf>
    <xf numFmtId="0" fontId="37" fillId="8" borderId="1" xfId="0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66" fontId="27" fillId="4" borderId="0" xfId="0" applyNumberFormat="1" applyFont="1" applyFill="1" applyAlignment="1">
      <alignment horizontal="center" vertical="center"/>
    </xf>
    <xf numFmtId="0" fontId="39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vertical="center"/>
    </xf>
    <xf numFmtId="0" fontId="28" fillId="8" borderId="1" xfId="0" applyFont="1" applyFill="1" applyBorder="1" applyAlignment="1">
      <alignment vertical="center"/>
    </xf>
    <xf numFmtId="0" fontId="2" fillId="20" borderId="0" xfId="0" applyFont="1" applyFill="1" applyAlignment="1">
      <alignment vertical="center"/>
    </xf>
    <xf numFmtId="3" fontId="2" fillId="3" borderId="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3" fontId="1" fillId="3" borderId="2" xfId="1" applyNumberFormat="1" applyFont="1" applyFill="1" applyBorder="1" applyAlignment="1" applyProtection="1">
      <alignment horizontal="center" vertical="center"/>
      <protection locked="0"/>
    </xf>
    <xf numFmtId="3" fontId="2" fillId="11" borderId="2" xfId="0" applyNumberFormat="1" applyFont="1" applyFill="1" applyBorder="1" applyAlignment="1">
      <alignment horizontal="center" vertical="center"/>
    </xf>
    <xf numFmtId="3" fontId="2" fillId="20" borderId="4" xfId="0" applyNumberFormat="1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vertical="center"/>
    </xf>
    <xf numFmtId="0" fontId="42" fillId="20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42" fillId="16" borderId="6" xfId="0" applyFont="1" applyFill="1" applyBorder="1" applyAlignment="1">
      <alignment horizontal="center" vertical="center"/>
    </xf>
    <xf numFmtId="3" fontId="1" fillId="17" borderId="0" xfId="0" applyNumberFormat="1" applyFont="1" applyFill="1" applyAlignment="1">
      <alignment horizontal="center" vertical="center"/>
    </xf>
    <xf numFmtId="3" fontId="1" fillId="17" borderId="0" xfId="1" applyNumberFormat="1" applyFont="1" applyFill="1" applyBorder="1" applyAlignment="1" applyProtection="1">
      <alignment horizontal="center" vertical="center"/>
      <protection locked="0"/>
    </xf>
    <xf numFmtId="3" fontId="2" fillId="17" borderId="0" xfId="1" applyNumberFormat="1" applyFont="1" applyFill="1" applyBorder="1" applyAlignment="1">
      <alignment horizontal="center" vertical="center"/>
    </xf>
    <xf numFmtId="3" fontId="2" fillId="17" borderId="0" xfId="0" applyNumberFormat="1" applyFont="1" applyFill="1" applyAlignment="1">
      <alignment horizontal="center" vertical="center"/>
    </xf>
    <xf numFmtId="0" fontId="21" fillId="4" borderId="1" xfId="0" applyFont="1" applyFill="1" applyBorder="1" applyAlignment="1">
      <alignment vertical="center"/>
    </xf>
    <xf numFmtId="14" fontId="22" fillId="0" borderId="0" xfId="0" applyNumberFormat="1" applyFont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39" fillId="4" borderId="1" xfId="0" applyFont="1" applyFill="1" applyBorder="1" applyAlignment="1">
      <alignment vertical="center"/>
    </xf>
    <xf numFmtId="3" fontId="2" fillId="15" borderId="1" xfId="1" applyNumberFormat="1" applyFont="1" applyFill="1" applyBorder="1" applyAlignment="1">
      <alignment horizontal="center" vertical="center"/>
    </xf>
    <xf numFmtId="49" fontId="45" fillId="5" borderId="0" xfId="0" applyNumberFormat="1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1" fontId="45" fillId="5" borderId="1" xfId="0" applyNumberFormat="1" applyFont="1" applyFill="1" applyBorder="1" applyAlignment="1">
      <alignment horizontal="center" vertical="center"/>
    </xf>
    <xf numFmtId="49" fontId="45" fillId="5" borderId="1" xfId="0" applyNumberFormat="1" applyFont="1" applyFill="1" applyBorder="1" applyAlignment="1">
      <alignment horizontal="center" vertical="center"/>
    </xf>
    <xf numFmtId="49" fontId="45" fillId="4" borderId="0" xfId="0" applyNumberFormat="1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49" fontId="45" fillId="12" borderId="0" xfId="0" applyNumberFormat="1" applyFont="1" applyFill="1" applyAlignment="1">
      <alignment horizontal="center" vertical="center"/>
    </xf>
    <xf numFmtId="3" fontId="20" fillId="10" borderId="0" xfId="0" applyNumberFormat="1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3" fontId="2" fillId="15" borderId="2" xfId="1" applyNumberFormat="1" applyFont="1" applyFill="1" applyBorder="1" applyAlignment="1">
      <alignment horizontal="center" vertical="center"/>
    </xf>
    <xf numFmtId="2" fontId="5" fillId="11" borderId="9" xfId="0" applyNumberFormat="1" applyFont="1" applyFill="1" applyBorder="1" applyAlignment="1">
      <alignment horizontal="center" vertical="center"/>
    </xf>
    <xf numFmtId="3" fontId="2" fillId="3" borderId="2" xfId="1" applyNumberFormat="1" applyFont="1" applyFill="1" applyBorder="1" applyAlignment="1">
      <alignment vertical="center"/>
    </xf>
    <xf numFmtId="3" fontId="5" fillId="3" borderId="7" xfId="0" applyNumberFormat="1" applyFont="1" applyFill="1" applyBorder="1" applyAlignment="1">
      <alignment vertical="center"/>
    </xf>
    <xf numFmtId="3" fontId="5" fillId="11" borderId="2" xfId="0" applyNumberFormat="1" applyFont="1" applyFill="1" applyBorder="1" applyAlignment="1">
      <alignment vertical="center"/>
    </xf>
    <xf numFmtId="3" fontId="2" fillId="11" borderId="2" xfId="0" applyNumberFormat="1" applyFont="1" applyFill="1" applyBorder="1" applyAlignment="1">
      <alignment vertical="center"/>
    </xf>
    <xf numFmtId="0" fontId="22" fillId="11" borderId="0" xfId="0" applyFont="1" applyFill="1" applyAlignment="1">
      <alignment vertical="center"/>
    </xf>
    <xf numFmtId="0" fontId="47" fillId="8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3" fontId="2" fillId="21" borderId="1" xfId="1" applyNumberFormat="1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8" fillId="4" borderId="4" xfId="0" applyNumberFormat="1" applyFont="1" applyFill="1" applyBorder="1" applyAlignment="1">
      <alignment horizontal="center" vertical="center"/>
    </xf>
    <xf numFmtId="2" fontId="8" fillId="4" borderId="5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2" fontId="8" fillId="12" borderId="4" xfId="0" applyNumberFormat="1" applyFont="1" applyFill="1" applyBorder="1" applyAlignment="1">
      <alignment horizontal="center" vertical="center"/>
    </xf>
    <xf numFmtId="2" fontId="8" fillId="12" borderId="5" xfId="0" applyNumberFormat="1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2" fontId="8" fillId="5" borderId="5" xfId="0" applyNumberFormat="1" applyFont="1" applyFill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3" fontId="31" fillId="9" borderId="6" xfId="1" applyNumberFormat="1" applyFont="1" applyFill="1" applyBorder="1" applyAlignment="1" applyProtection="1">
      <alignment horizontal="center" vertical="center"/>
      <protection locked="0"/>
    </xf>
    <xf numFmtId="3" fontId="1" fillId="9" borderId="6" xfId="1" applyNumberFormat="1" applyFont="1" applyFill="1" applyBorder="1" applyAlignment="1" applyProtection="1">
      <alignment horizontal="center" vertical="center"/>
      <protection locked="0"/>
    </xf>
    <xf numFmtId="3" fontId="33" fillId="9" borderId="0" xfId="0" applyNumberFormat="1" applyFont="1" applyFill="1" applyAlignment="1">
      <alignment horizontal="center" vertical="center"/>
    </xf>
    <xf numFmtId="3" fontId="31" fillId="9" borderId="0" xfId="0" applyNumberFormat="1" applyFont="1" applyFill="1" applyAlignment="1">
      <alignment horizontal="center" vertical="center"/>
    </xf>
    <xf numFmtId="3" fontId="31" fillId="20" borderId="6" xfId="1" applyNumberFormat="1" applyFont="1" applyFill="1" applyBorder="1" applyAlignment="1" applyProtection="1">
      <alignment horizontal="center" vertical="center"/>
      <protection locked="0"/>
    </xf>
    <xf numFmtId="3" fontId="1" fillId="20" borderId="6" xfId="1" applyNumberFormat="1" applyFont="1" applyFill="1" applyBorder="1" applyAlignment="1" applyProtection="1">
      <alignment horizontal="center" vertical="center"/>
      <protection locked="0"/>
    </xf>
    <xf numFmtId="3" fontId="42" fillId="20" borderId="6" xfId="0" applyNumberFormat="1" applyFont="1" applyFill="1" applyBorder="1" applyAlignment="1">
      <alignment horizontal="center" vertical="center"/>
    </xf>
    <xf numFmtId="3" fontId="41" fillId="20" borderId="6" xfId="0" applyNumberFormat="1" applyFont="1" applyFill="1" applyBorder="1" applyAlignment="1">
      <alignment horizontal="center" vertical="center"/>
    </xf>
    <xf numFmtId="3" fontId="41" fillId="20" borderId="5" xfId="0" applyNumberFormat="1" applyFont="1" applyFill="1" applyBorder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42" fillId="16" borderId="6" xfId="0" applyNumberFormat="1" applyFont="1" applyFill="1" applyBorder="1" applyAlignment="1">
      <alignment horizontal="center" vertical="center"/>
    </xf>
    <xf numFmtId="3" fontId="41" fillId="16" borderId="6" xfId="0" applyNumberFormat="1" applyFont="1" applyFill="1" applyBorder="1" applyAlignment="1">
      <alignment horizontal="center" vertical="center"/>
    </xf>
    <xf numFmtId="3" fontId="41" fillId="16" borderId="5" xfId="0" applyNumberFormat="1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3" fontId="1" fillId="3" borderId="2" xfId="1" applyNumberFormat="1" applyFont="1" applyFill="1" applyBorder="1" applyAlignment="1" applyProtection="1">
      <alignment horizontal="center" vertical="center"/>
      <protection locked="0"/>
    </xf>
    <xf numFmtId="3" fontId="1" fillId="3" borderId="3" xfId="1" applyNumberFormat="1" applyFont="1" applyFill="1" applyBorder="1" applyAlignment="1" applyProtection="1">
      <alignment horizontal="center" vertical="center"/>
      <protection locked="0"/>
    </xf>
    <xf numFmtId="3" fontId="2" fillId="3" borderId="2" xfId="1" applyNumberFormat="1" applyFont="1" applyFill="1" applyBorder="1" applyAlignment="1">
      <alignment horizontal="center" vertical="center"/>
    </xf>
    <xf numFmtId="3" fontId="2" fillId="3" borderId="3" xfId="1" applyNumberFormat="1" applyFont="1" applyFill="1" applyBorder="1" applyAlignment="1">
      <alignment horizontal="center" vertical="center"/>
    </xf>
    <xf numFmtId="49" fontId="22" fillId="3" borderId="0" xfId="0" applyNumberFormat="1" applyFont="1" applyFill="1" applyAlignment="1">
      <alignment horizontal="center" vertical="center"/>
    </xf>
    <xf numFmtId="166" fontId="22" fillId="3" borderId="0" xfId="0" applyNumberFormat="1" applyFont="1" applyFill="1" applyAlignment="1">
      <alignment horizontal="center" vertical="center"/>
    </xf>
    <xf numFmtId="3" fontId="5" fillId="11" borderId="2" xfId="0" applyNumberFormat="1" applyFont="1" applyFill="1" applyBorder="1" applyAlignment="1">
      <alignment horizontal="center" vertical="center"/>
    </xf>
    <xf numFmtId="3" fontId="5" fillId="11" borderId="3" xfId="0" applyNumberFormat="1" applyFont="1" applyFill="1" applyBorder="1" applyAlignment="1">
      <alignment horizontal="center" vertical="center"/>
    </xf>
    <xf numFmtId="3" fontId="2" fillId="11" borderId="2" xfId="0" applyNumberFormat="1" applyFont="1" applyFill="1" applyBorder="1" applyAlignment="1">
      <alignment horizontal="center" vertical="center"/>
    </xf>
    <xf numFmtId="3" fontId="2" fillId="11" borderId="3" xfId="0" applyNumberFormat="1" applyFont="1" applyFill="1" applyBorder="1" applyAlignment="1">
      <alignment horizontal="center" vertical="center"/>
    </xf>
    <xf numFmtId="3" fontId="2" fillId="15" borderId="2" xfId="1" applyNumberFormat="1" applyFont="1" applyFill="1" applyBorder="1" applyAlignment="1">
      <alignment horizontal="center" vertical="center"/>
    </xf>
    <xf numFmtId="3" fontId="2" fillId="15" borderId="3" xfId="1" applyNumberFormat="1" applyFont="1" applyFill="1" applyBorder="1" applyAlignment="1">
      <alignment horizontal="center" vertical="center"/>
    </xf>
    <xf numFmtId="2" fontId="5" fillId="11" borderId="9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20202"/>
      <color rgb="FFFF0000"/>
      <color rgb="FF3399FF"/>
      <color rgb="FF0000CC"/>
      <color rgb="FFCADFFE"/>
      <color rgb="FF92A9FC"/>
      <color rgb="FFFF8F8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Jpan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335"/>
  <sheetViews>
    <sheetView tabSelected="1" zoomScale="120" zoomScaleNormal="120" workbookViewId="0">
      <pane ySplit="4" topLeftCell="A7" activePane="bottomLeft" state="frozen"/>
      <selection pane="bottomLeft" activeCell="C35" sqref="C35"/>
    </sheetView>
  </sheetViews>
  <sheetFormatPr defaultColWidth="9.140625" defaultRowHeight="12" x14ac:dyDescent="0.25"/>
  <cols>
    <col min="1" max="1" width="7.42578125" style="4" customWidth="1"/>
    <col min="2" max="2" width="50.42578125" style="4" customWidth="1"/>
    <col min="3" max="3" width="9" style="6" customWidth="1"/>
    <col min="4" max="9" width="7.28515625" style="4" customWidth="1"/>
    <col min="10" max="10" width="0.7109375" style="64" customWidth="1"/>
    <col min="11" max="15" width="7.7109375" style="4" customWidth="1"/>
    <col min="16" max="16" width="5.85546875" style="65" customWidth="1"/>
    <col min="17" max="17" width="4" style="65" customWidth="1"/>
    <col min="18" max="18" width="3.140625" style="65" customWidth="1"/>
    <col min="19" max="19" width="5" style="65" customWidth="1"/>
    <col min="20" max="20" width="0.85546875" style="64" customWidth="1"/>
    <col min="21" max="21" width="4" style="4" customWidth="1"/>
    <col min="22" max="22" width="3.85546875" style="4" customWidth="1"/>
    <col min="23" max="23" width="10.140625" style="66" customWidth="1"/>
    <col min="24" max="24" width="13.7109375" style="66" customWidth="1"/>
    <col min="25" max="25" width="9.85546875" style="4" bestFit="1" customWidth="1"/>
    <col min="26" max="16384" width="9.140625" style="4"/>
  </cols>
  <sheetData>
    <row r="2" spans="1:24" x14ac:dyDescent="0.25">
      <c r="A2" s="279" t="s">
        <v>200</v>
      </c>
      <c r="B2" s="279"/>
    </row>
    <row r="3" spans="1:24" x14ac:dyDescent="0.25">
      <c r="A3" s="4" t="s">
        <v>733</v>
      </c>
      <c r="H3" s="4" t="s">
        <v>615</v>
      </c>
    </row>
    <row r="4" spans="1:24" s="2" customFormat="1" x14ac:dyDescent="0.25">
      <c r="A4" s="15" t="s">
        <v>0</v>
      </c>
      <c r="B4" s="14" t="s">
        <v>47</v>
      </c>
      <c r="C4" s="67" t="s">
        <v>80</v>
      </c>
      <c r="D4" s="15">
        <v>6</v>
      </c>
      <c r="E4" s="13">
        <v>12</v>
      </c>
      <c r="F4" s="13">
        <v>18</v>
      </c>
      <c r="G4" s="13">
        <v>24</v>
      </c>
      <c r="H4" s="13">
        <v>30</v>
      </c>
      <c r="I4" s="13">
        <v>36</v>
      </c>
      <c r="J4" s="1"/>
      <c r="K4" s="13" t="s">
        <v>2</v>
      </c>
      <c r="L4" s="13" t="s">
        <v>1</v>
      </c>
      <c r="M4" s="13" t="s">
        <v>3</v>
      </c>
      <c r="N4" s="13" t="s">
        <v>4</v>
      </c>
      <c r="O4" s="13" t="s">
        <v>5</v>
      </c>
      <c r="P4" s="261" t="s">
        <v>6</v>
      </c>
      <c r="Q4" s="262"/>
      <c r="R4" s="234">
        <v>6</v>
      </c>
      <c r="S4" s="235" t="s">
        <v>523</v>
      </c>
      <c r="T4" s="8"/>
      <c r="U4" s="259" t="s">
        <v>7</v>
      </c>
      <c r="V4" s="260"/>
      <c r="W4" s="57" t="s">
        <v>152</v>
      </c>
      <c r="X4" s="57" t="s">
        <v>198</v>
      </c>
    </row>
    <row r="5" spans="1:24" s="2" customFormat="1" x14ac:dyDescent="0.25">
      <c r="A5" s="1"/>
      <c r="C5" s="68" t="s">
        <v>8</v>
      </c>
      <c r="J5" s="1"/>
      <c r="P5" s="69"/>
      <c r="Q5" s="69"/>
      <c r="R5" s="69"/>
      <c r="S5" s="69"/>
      <c r="T5" s="1"/>
      <c r="W5" s="70"/>
      <c r="X5" s="70"/>
    </row>
    <row r="6" spans="1:24" ht="14.25" customHeight="1" x14ac:dyDescent="0.25">
      <c r="A6" s="281" t="s">
        <v>9</v>
      </c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71"/>
      <c r="X6" s="71"/>
    </row>
    <row r="7" spans="1:24" ht="13.5" customHeight="1" x14ac:dyDescent="0.25">
      <c r="A7" s="72">
        <v>84900</v>
      </c>
      <c r="B7" s="81" t="s">
        <v>715</v>
      </c>
      <c r="C7" s="17">
        <v>20000</v>
      </c>
      <c r="D7" s="16">
        <f>IF(C7&gt;=1,(K7-C7)*(1+P7*$D$4/100)/$D$4+Q7+R7,"")</f>
        <v>12975.486899999998</v>
      </c>
      <c r="E7" s="16">
        <f>IF(C7&gt;=1,(K7-C7)*(1+P7*$E$4/100)/$E$4+Q7+S7,"")</f>
        <v>7220.7368999999999</v>
      </c>
      <c r="F7" s="16">
        <f>IF(C7&gt;=1,(K7-C7)*(1+$P7*$F$4/100)/$F$4+Q7+S7, "")</f>
        <v>5344.1535666666668</v>
      </c>
      <c r="G7" s="16">
        <f>IF(C7&gt;=1, (K7-C7)*(1+$P7*$G$4/100)/$G$4+Q7+S7,"")</f>
        <v>4405.8618999999999</v>
      </c>
      <c r="H7" s="16">
        <f>IF(C7&gt;=1, (K7-C7)*(1+$P7*$H$4/100)/$H$4+Q7+S7, "")</f>
        <v>3842.8868999999995</v>
      </c>
      <c r="I7" s="16">
        <f>IF(C7&gt;=1, (K7-C7)*(1+$P7*$I$4/100)/$I$4+Q7+S7, "")</f>
        <v>3467.5702333333338</v>
      </c>
      <c r="J7" s="74"/>
      <c r="K7" s="75">
        <v>87557</v>
      </c>
      <c r="L7" s="76">
        <v>86454</v>
      </c>
      <c r="M7" s="76">
        <f>86822+1200</f>
        <v>88022</v>
      </c>
      <c r="N7" s="76">
        <f>87189+1200</f>
        <v>88389</v>
      </c>
      <c r="O7" s="76">
        <f>87557+1100</f>
        <v>88657</v>
      </c>
      <c r="P7" s="77">
        <v>2.17</v>
      </c>
      <c r="Q7" s="78"/>
      <c r="R7" s="233">
        <v>250</v>
      </c>
      <c r="S7" s="233">
        <v>125</v>
      </c>
      <c r="T7" s="74"/>
      <c r="U7" s="79">
        <v>200</v>
      </c>
      <c r="V7" s="79">
        <v>100</v>
      </c>
      <c r="W7" s="80">
        <v>45918</v>
      </c>
      <c r="X7" s="80" t="s">
        <v>716</v>
      </c>
    </row>
    <row r="8" spans="1:24" ht="13.5" customHeight="1" x14ac:dyDescent="0.25">
      <c r="A8" s="72">
        <v>93900</v>
      </c>
      <c r="B8" s="81" t="s">
        <v>717</v>
      </c>
      <c r="C8" s="17">
        <v>20000</v>
      </c>
      <c r="D8" s="16">
        <f>IF(C8&gt;=1,(K8-C8)*(1+P8*$D$4/100)/$D$4+Q8+R8,"")</f>
        <v>14721.645899999998</v>
      </c>
      <c r="E8" s="16">
        <f>IF(C8&gt;=1,(K8-C8)*(1+P8*$E$4/100)/$E$4+Q8+S8,"")</f>
        <v>8194.3958999999995</v>
      </c>
      <c r="F8" s="16">
        <f>IF(C8&gt;=1,(K8-C8)*(1+$P8*$F$4/100)/$F$4+Q8+S8, "")</f>
        <v>6060.3125666666665</v>
      </c>
      <c r="G8" s="16">
        <f>IF(C8&gt;=1, (K8-C8)*(1+$P8*$G$4/100)/$G$4+Q8+S8,"")</f>
        <v>4993.2708999999995</v>
      </c>
      <c r="H8" s="16">
        <f>IF(C8&gt;=1, (K8-C8)*(1+$P8*$H$4/100)/$H$4+Q8+S8, "")</f>
        <v>4353.0458999999992</v>
      </c>
      <c r="I8" s="16">
        <f>IF(C8&gt;=1, (K8-C8)*(1+$P8*$I$4/100)/$I$4+Q8+S8, "")</f>
        <v>3926.2292333333335</v>
      </c>
      <c r="J8" s="74"/>
      <c r="K8" s="75">
        <f>96827</f>
        <v>96827</v>
      </c>
      <c r="L8" s="76">
        <f>95419</f>
        <v>95419</v>
      </c>
      <c r="M8" s="76">
        <f>95888+1200</f>
        <v>97088</v>
      </c>
      <c r="N8" s="76">
        <f>96358+1200</f>
        <v>97558</v>
      </c>
      <c r="O8" s="76">
        <f>96827+1100</f>
        <v>97927</v>
      </c>
      <c r="P8" s="77">
        <v>2.17</v>
      </c>
      <c r="Q8" s="78"/>
      <c r="R8" s="233">
        <v>250</v>
      </c>
      <c r="S8" s="233">
        <v>125</v>
      </c>
      <c r="T8" s="74"/>
      <c r="U8" s="79">
        <v>200</v>
      </c>
      <c r="V8" s="79">
        <v>100</v>
      </c>
      <c r="W8" s="80">
        <v>45918</v>
      </c>
      <c r="X8" s="80" t="s">
        <v>718</v>
      </c>
    </row>
    <row r="9" spans="1:24" ht="13.5" customHeight="1" x14ac:dyDescent="0.25">
      <c r="A9" s="72">
        <v>66900</v>
      </c>
      <c r="B9" s="73" t="s">
        <v>361</v>
      </c>
      <c r="C9" s="17"/>
      <c r="D9" s="16" t="str">
        <f>IF(C9&gt;=1,(K9-C9)*(1+P9*$D$4/100)/$D$4+Q9+R9,"")</f>
        <v/>
      </c>
      <c r="E9" s="16" t="str">
        <f>IF(C9&gt;=1,(K9-C9)*(1+P9*$E$4/100)/$E$4+Q9+S9,"")</f>
        <v/>
      </c>
      <c r="F9" s="16" t="str">
        <f>IF(C9&gt;=1,(K9-C9)*(1+$P9*$F$4/100)/$F$4+Q9+S9, "")</f>
        <v/>
      </c>
      <c r="G9" s="16" t="str">
        <f>IF(C9&gt;=1, (K9-C9)*(1+$P9*$G$4/100)/$G$4+Q9+S9,"")</f>
        <v/>
      </c>
      <c r="H9" s="16" t="str">
        <f>IF(C9&gt;=1, (K9-C9)*(1+$P9*$H$4/100)/$H$4+Q9+S9, "")</f>
        <v/>
      </c>
      <c r="I9" s="16" t="str">
        <f>IF(C9&gt;=1, (K9-C9)*(1+$P9*$I$4/100)/$I$4+Q9+S9, "")</f>
        <v/>
      </c>
      <c r="J9" s="74"/>
      <c r="K9" s="75">
        <v>70694</v>
      </c>
      <c r="L9" s="76">
        <v>68026</v>
      </c>
      <c r="M9" s="76">
        <f>69875+240</f>
        <v>70115</v>
      </c>
      <c r="N9" s="76">
        <f>70764+240</f>
        <v>71004</v>
      </c>
      <c r="O9" s="76">
        <f>71554+240</f>
        <v>71794</v>
      </c>
      <c r="P9" s="77">
        <v>2.17</v>
      </c>
      <c r="Q9" s="78"/>
      <c r="R9" s="233">
        <v>250</v>
      </c>
      <c r="S9" s="233">
        <v>125</v>
      </c>
      <c r="T9" s="74"/>
      <c r="U9" s="79">
        <v>200</v>
      </c>
      <c r="V9" s="79">
        <v>100</v>
      </c>
      <c r="W9" s="80"/>
      <c r="X9" s="80"/>
    </row>
    <row r="10" spans="1:24" ht="13.5" customHeight="1" x14ac:dyDescent="0.25">
      <c r="A10" s="72">
        <v>80400</v>
      </c>
      <c r="B10" s="81" t="s">
        <v>396</v>
      </c>
      <c r="C10" s="17"/>
      <c r="D10" s="16" t="str">
        <f t="shared" ref="D10:D53" si="0">IF(C10&gt;=1,(K10-C10)*(1+P10*$D$4/100)/$D$4+Q10+R10,"")</f>
        <v/>
      </c>
      <c r="E10" s="16" t="str">
        <f t="shared" ref="E10:E54" si="1">IF(C10&gt;=1,(K10-C10)*(1+P10*$E$4/100)/$E$4+Q10+S10,"")</f>
        <v/>
      </c>
      <c r="F10" s="16" t="str">
        <f>IF(C10&gt;=1,(K10-C10)*(1+$P10*$F$4/100)/$F$4+Q10+S10, "")</f>
        <v/>
      </c>
      <c r="G10" s="16" t="str">
        <f>IF(C10&gt;=1, (K10-C10)*(1+$P10*$G$4/100)/$G$4+Q10+S10,"")</f>
        <v/>
      </c>
      <c r="H10" s="16" t="str">
        <f>IF(C10&gt;=1, (K10-C10)*(1+$P10*$H$4/100)/$H$4+Q10+S10, "")</f>
        <v/>
      </c>
      <c r="I10" s="16" t="str">
        <f t="shared" ref="I10:I50" si="2">IF(C10&gt;=1, (K10-C10)*(1+$P10*$I$4/100)/$I$4+Q10+S10, "")</f>
        <v/>
      </c>
      <c r="J10" s="74"/>
      <c r="K10" s="75">
        <f>84878</f>
        <v>84878</v>
      </c>
      <c r="L10" s="76">
        <f>81499</f>
        <v>81499</v>
      </c>
      <c r="M10" s="76">
        <f>82625+1200</f>
        <v>83825</v>
      </c>
      <c r="N10" s="76">
        <f>83751+1200</f>
        <v>84951</v>
      </c>
      <c r="O10" s="76">
        <f>84878+1100</f>
        <v>85978</v>
      </c>
      <c r="P10" s="77">
        <v>2.17</v>
      </c>
      <c r="Q10" s="78"/>
      <c r="R10" s="233">
        <v>250</v>
      </c>
      <c r="S10" s="233">
        <v>125</v>
      </c>
      <c r="T10" s="74"/>
      <c r="U10" s="79">
        <v>200</v>
      </c>
      <c r="V10" s="79">
        <v>100</v>
      </c>
      <c r="W10" s="151" t="s">
        <v>524</v>
      </c>
      <c r="X10" s="80" t="s">
        <v>529</v>
      </c>
    </row>
    <row r="11" spans="1:24" ht="13.5" customHeight="1" x14ac:dyDescent="0.25">
      <c r="A11" s="72">
        <v>83400</v>
      </c>
      <c r="B11" s="83" t="s">
        <v>480</v>
      </c>
      <c r="C11" s="17"/>
      <c r="D11" s="16" t="str">
        <f t="shared" si="0"/>
        <v/>
      </c>
      <c r="E11" s="16" t="str">
        <f t="shared" si="1"/>
        <v/>
      </c>
      <c r="F11" s="16" t="str">
        <f>IF(C11&gt;=1,(K11-C11)*(1+$P11*$F$4/100)/$F$4+Q11+S11, "")</f>
        <v/>
      </c>
      <c r="G11" s="16" t="str">
        <f>IF(C11&gt;=1, (K11-C11)*(1+$P11*$G$4/100)/$G$4+Q11+S11,"")</f>
        <v/>
      </c>
      <c r="H11" s="16" t="str">
        <f t="shared" ref="H11:H18" si="3">IF(C11&gt;=1, (K11-C11)*(1+$P11*$H$4/100)/$H$4+Q11+S11, "")</f>
        <v/>
      </c>
      <c r="I11" s="16" t="str">
        <f t="shared" si="2"/>
        <v/>
      </c>
      <c r="J11" s="74"/>
      <c r="K11" s="75">
        <f>87306</f>
        <v>87306</v>
      </c>
      <c r="L11" s="76">
        <f>84432</f>
        <v>84432</v>
      </c>
      <c r="M11" s="76">
        <f>85390+1200</f>
        <v>86590</v>
      </c>
      <c r="N11" s="76">
        <f>86348+1200</f>
        <v>87548</v>
      </c>
      <c r="O11" s="76">
        <f>87306+1100</f>
        <v>88406</v>
      </c>
      <c r="P11" s="77">
        <v>2.17</v>
      </c>
      <c r="Q11" s="78"/>
      <c r="R11" s="233">
        <v>250</v>
      </c>
      <c r="S11" s="233">
        <v>125</v>
      </c>
      <c r="T11" s="74"/>
      <c r="U11" s="79">
        <v>200</v>
      </c>
      <c r="V11" s="79">
        <v>100</v>
      </c>
      <c r="W11" s="151" t="s">
        <v>524</v>
      </c>
      <c r="X11" s="80" t="s">
        <v>530</v>
      </c>
    </row>
    <row r="12" spans="1:24" ht="13.5" customHeight="1" x14ac:dyDescent="0.25">
      <c r="A12" s="72">
        <v>92400</v>
      </c>
      <c r="B12" s="83" t="s">
        <v>477</v>
      </c>
      <c r="C12" s="17"/>
      <c r="D12" s="16" t="str">
        <f t="shared" si="0"/>
        <v/>
      </c>
      <c r="E12" s="16" t="str">
        <f t="shared" si="1"/>
        <v/>
      </c>
      <c r="F12" s="16" t="str">
        <f t="shared" ref="F12:F20" si="4">IF(C12&gt;=1,(K12-C12)*(1+$P12*$F$4/100)/$F$4+Q12+S12, "")</f>
        <v/>
      </c>
      <c r="G12" s="16" t="str">
        <f t="shared" ref="G12:G15" si="5">IF(C12&gt;=1, (K12-C12)*(1+$P12*$G$4/100)/$G$4+Q12+S12,"")</f>
        <v/>
      </c>
      <c r="H12" s="16" t="str">
        <f t="shared" si="3"/>
        <v/>
      </c>
      <c r="I12" s="16" t="str">
        <f t="shared" si="2"/>
        <v/>
      </c>
      <c r="J12" s="74"/>
      <c r="K12" s="75">
        <f>95262</f>
        <v>95262</v>
      </c>
      <c r="L12" s="76">
        <f>92400</f>
        <v>92400</v>
      </c>
      <c r="M12" s="76">
        <f>93354+1200</f>
        <v>94554</v>
      </c>
      <c r="N12" s="76">
        <f>94308+1200</f>
        <v>95508</v>
      </c>
      <c r="O12" s="76">
        <f>95262+1100</f>
        <v>96362</v>
      </c>
      <c r="P12" s="77">
        <v>2.17</v>
      </c>
      <c r="Q12" s="78"/>
      <c r="R12" s="233">
        <v>250</v>
      </c>
      <c r="S12" s="233">
        <v>125</v>
      </c>
      <c r="T12" s="74"/>
      <c r="U12" s="79">
        <v>200</v>
      </c>
      <c r="V12" s="79">
        <v>100</v>
      </c>
      <c r="W12" s="151" t="s">
        <v>478</v>
      </c>
      <c r="X12" s="80" t="s">
        <v>479</v>
      </c>
    </row>
    <row r="13" spans="1:24" ht="13.5" customHeight="1" x14ac:dyDescent="0.25">
      <c r="A13" s="72">
        <v>48900</v>
      </c>
      <c r="B13" s="73" t="s">
        <v>10</v>
      </c>
      <c r="C13" s="17"/>
      <c r="D13" s="16" t="str">
        <f t="shared" si="0"/>
        <v/>
      </c>
      <c r="E13" s="16" t="str">
        <f t="shared" si="1"/>
        <v/>
      </c>
      <c r="F13" s="16" t="str">
        <f t="shared" si="4"/>
        <v/>
      </c>
      <c r="G13" s="16" t="str">
        <f t="shared" si="5"/>
        <v/>
      </c>
      <c r="H13" s="16" t="str">
        <f t="shared" si="3"/>
        <v/>
      </c>
      <c r="I13" s="16" t="str">
        <f t="shared" si="2"/>
        <v/>
      </c>
      <c r="J13" s="74"/>
      <c r="K13" s="75">
        <v>52555</v>
      </c>
      <c r="L13" s="76">
        <v>51573</v>
      </c>
      <c r="M13" s="76">
        <f>52800+60+240</f>
        <v>53100</v>
      </c>
      <c r="N13" s="76">
        <f>53127+60+240</f>
        <v>53427</v>
      </c>
      <c r="O13" s="76">
        <f>53355+60+240</f>
        <v>53655</v>
      </c>
      <c r="P13" s="77">
        <v>3</v>
      </c>
      <c r="Q13" s="78"/>
      <c r="R13" s="233">
        <v>250</v>
      </c>
      <c r="S13" s="233">
        <v>125</v>
      </c>
      <c r="T13" s="74"/>
      <c r="U13" s="79">
        <v>500</v>
      </c>
      <c r="V13" s="79">
        <v>50</v>
      </c>
      <c r="W13" s="80"/>
      <c r="X13" s="80"/>
    </row>
    <row r="14" spans="1:24" ht="13.5" customHeight="1" x14ac:dyDescent="0.25">
      <c r="A14" s="72">
        <v>91900</v>
      </c>
      <c r="B14" s="73" t="s">
        <v>147</v>
      </c>
      <c r="C14" s="17"/>
      <c r="D14" s="16" t="str">
        <f t="shared" si="0"/>
        <v/>
      </c>
      <c r="E14" s="16" t="str">
        <f t="shared" si="1"/>
        <v/>
      </c>
      <c r="F14" s="16" t="str">
        <f t="shared" si="4"/>
        <v/>
      </c>
      <c r="G14" s="16" t="str">
        <f t="shared" si="5"/>
        <v/>
      </c>
      <c r="H14" s="16" t="str">
        <f t="shared" si="3"/>
        <v/>
      </c>
      <c r="I14" s="16" t="str">
        <f t="shared" si="2"/>
        <v/>
      </c>
      <c r="J14" s="74"/>
      <c r="K14" s="75">
        <v>94597</v>
      </c>
      <c r="L14" s="76">
        <v>92795</v>
      </c>
      <c r="M14" s="76">
        <f>93395+1200</f>
        <v>94595</v>
      </c>
      <c r="N14" s="76">
        <f>93996+1200</f>
        <v>95196</v>
      </c>
      <c r="O14" s="76">
        <f>94597+1100</f>
        <v>95697</v>
      </c>
      <c r="P14" s="77">
        <v>2.17</v>
      </c>
      <c r="Q14" s="78"/>
      <c r="R14" s="233">
        <v>250</v>
      </c>
      <c r="S14" s="233">
        <v>125</v>
      </c>
      <c r="T14" s="74"/>
      <c r="U14" s="79">
        <v>200</v>
      </c>
      <c r="V14" s="79">
        <v>100</v>
      </c>
      <c r="W14" s="80"/>
      <c r="X14" s="80"/>
    </row>
    <row r="15" spans="1:24" ht="13.5" customHeight="1" x14ac:dyDescent="0.25">
      <c r="A15" s="72">
        <v>93900</v>
      </c>
      <c r="B15" s="73" t="s">
        <v>344</v>
      </c>
      <c r="C15" s="17"/>
      <c r="D15" s="16" t="str">
        <f t="shared" si="0"/>
        <v/>
      </c>
      <c r="E15" s="16" t="str">
        <f t="shared" si="1"/>
        <v/>
      </c>
      <c r="F15" s="16" t="str">
        <f t="shared" si="4"/>
        <v/>
      </c>
      <c r="G15" s="16" t="str">
        <f t="shared" si="5"/>
        <v/>
      </c>
      <c r="H15" s="16" t="str">
        <f t="shared" si="3"/>
        <v/>
      </c>
      <c r="I15" s="16" t="str">
        <f t="shared" si="2"/>
        <v/>
      </c>
      <c r="J15" s="74"/>
      <c r="K15" s="75">
        <v>96597</v>
      </c>
      <c r="L15" s="76">
        <v>94795</v>
      </c>
      <c r="M15" s="76">
        <f>95395+1200</f>
        <v>96595</v>
      </c>
      <c r="N15" s="76">
        <f>95996+1200</f>
        <v>97196</v>
      </c>
      <c r="O15" s="76">
        <f>96597+1100</f>
        <v>97697</v>
      </c>
      <c r="P15" s="77">
        <v>2.17</v>
      </c>
      <c r="Q15" s="78"/>
      <c r="R15" s="233">
        <v>250</v>
      </c>
      <c r="S15" s="233">
        <v>125</v>
      </c>
      <c r="T15" s="74"/>
      <c r="U15" s="79">
        <v>200</v>
      </c>
      <c r="V15" s="79">
        <v>100</v>
      </c>
      <c r="W15" s="151" t="s">
        <v>268</v>
      </c>
      <c r="X15" s="80" t="s">
        <v>269</v>
      </c>
    </row>
    <row r="16" spans="1:24" ht="13.5" customHeight="1" x14ac:dyDescent="0.25">
      <c r="A16" s="72">
        <v>104900</v>
      </c>
      <c r="B16" s="73" t="s">
        <v>617</v>
      </c>
      <c r="C16" s="17"/>
      <c r="D16" s="16" t="str">
        <f t="shared" si="0"/>
        <v/>
      </c>
      <c r="E16" s="16" t="str">
        <f t="shared" si="1"/>
        <v/>
      </c>
      <c r="F16" s="16" t="str">
        <f t="shared" si="4"/>
        <v/>
      </c>
      <c r="G16" s="16" t="str">
        <f>IF(C16&gt;=1, (K16-C16)*(1+$P16*$G$4/100)/$G$4+Q16+S16,"")</f>
        <v/>
      </c>
      <c r="H16" s="16" t="str">
        <f t="shared" si="3"/>
        <v/>
      </c>
      <c r="I16" s="16" t="str">
        <f t="shared" si="2"/>
        <v/>
      </c>
      <c r="J16" s="74"/>
      <c r="K16" s="75">
        <f>108689</f>
        <v>108689</v>
      </c>
      <c r="L16" s="76">
        <f>106887</f>
        <v>106887</v>
      </c>
      <c r="M16" s="76">
        <f>107487+1200</f>
        <v>108687</v>
      </c>
      <c r="N16" s="76">
        <f>108088+1200</f>
        <v>109288</v>
      </c>
      <c r="O16" s="76">
        <f>108689+1100</f>
        <v>109789</v>
      </c>
      <c r="P16" s="77">
        <v>2.17</v>
      </c>
      <c r="Q16" s="78"/>
      <c r="R16" s="233">
        <v>250</v>
      </c>
      <c r="S16" s="233">
        <v>125</v>
      </c>
      <c r="T16" s="74"/>
      <c r="U16" s="79">
        <v>200</v>
      </c>
      <c r="V16" s="79">
        <v>100</v>
      </c>
      <c r="W16" s="151" t="s">
        <v>613</v>
      </c>
      <c r="X16" s="80" t="s">
        <v>616</v>
      </c>
    </row>
    <row r="17" spans="1:24" ht="13.5" customHeight="1" x14ac:dyDescent="0.25">
      <c r="A17" s="72">
        <v>114900</v>
      </c>
      <c r="B17" s="250" t="s">
        <v>612</v>
      </c>
      <c r="C17" s="17"/>
      <c r="D17" s="16" t="str">
        <f t="shared" ref="D17" si="6">IF(C17&gt;=1,(K17-C17)*(1+P17*$D$4/100)/$D$4+Q17+R17,"")</f>
        <v/>
      </c>
      <c r="E17" s="16" t="str">
        <f t="shared" ref="E17" si="7">IF(C17&gt;=1,(K17-C17)*(1+P17*$E$4/100)/$E$4+Q17+S17,"")</f>
        <v/>
      </c>
      <c r="F17" s="16" t="str">
        <f t="shared" ref="F17" si="8">IF(C17&gt;=1,(K17-C17)*(1+$P17*$F$4/100)/$F$4+Q17+S17, "")</f>
        <v/>
      </c>
      <c r="G17" s="16" t="str">
        <f>IF(C17&gt;=1, (K17-C17)*(1+$P17*$G$4/100)/$G$4+Q17+S17,"")</f>
        <v/>
      </c>
      <c r="H17" s="16" t="str">
        <f t="shared" ref="H17" si="9">IF(C17&gt;=1, (K17-C17)*(1+$P17*$H$4/100)/$H$4+Q17+S17, "")</f>
        <v/>
      </c>
      <c r="I17" s="16" t="str">
        <f t="shared" ref="I17" si="10">IF(C17&gt;=1, (K17-C17)*(1+$P17*$I$4/100)/$I$4+Q17+S17, "")</f>
        <v/>
      </c>
      <c r="J17" s="74"/>
      <c r="K17" s="75">
        <v>116878</v>
      </c>
      <c r="L17" s="76">
        <f>114900</f>
        <v>114900</v>
      </c>
      <c r="M17" s="76">
        <f>115560+1200</f>
        <v>116760</v>
      </c>
      <c r="N17" s="76">
        <f>116219+1200</f>
        <v>117419</v>
      </c>
      <c r="O17" s="76">
        <f>116878+1100</f>
        <v>117978</v>
      </c>
      <c r="P17" s="77">
        <v>2.17</v>
      </c>
      <c r="Q17" s="78"/>
      <c r="R17" s="233">
        <v>250</v>
      </c>
      <c r="S17" s="233">
        <v>125</v>
      </c>
      <c r="T17" s="74"/>
      <c r="U17" s="79">
        <v>200</v>
      </c>
      <c r="V17" s="79">
        <v>100</v>
      </c>
      <c r="W17" s="151" t="s">
        <v>613</v>
      </c>
      <c r="X17" s="80" t="s">
        <v>614</v>
      </c>
    </row>
    <row r="18" spans="1:24" ht="13.5" customHeight="1" x14ac:dyDescent="0.25">
      <c r="A18" s="72">
        <v>192900</v>
      </c>
      <c r="B18" s="73" t="s">
        <v>409</v>
      </c>
      <c r="C18" s="17"/>
      <c r="D18" s="16" t="str">
        <f t="shared" si="0"/>
        <v/>
      </c>
      <c r="E18" s="16" t="str">
        <f t="shared" si="1"/>
        <v/>
      </c>
      <c r="F18" s="16" t="str">
        <f t="shared" si="4"/>
        <v/>
      </c>
      <c r="G18" s="16" t="str">
        <f>IF(C18&gt;=1, (K18-C18)*(1+$P18*$G$4/100)/$G$4+Q18+S18,"")</f>
        <v/>
      </c>
      <c r="H18" s="16" t="str">
        <f t="shared" si="3"/>
        <v/>
      </c>
      <c r="I18" s="16" t="str">
        <f t="shared" si="2"/>
        <v/>
      </c>
      <c r="J18" s="74"/>
      <c r="K18" s="75">
        <f>200824</f>
        <v>200824</v>
      </c>
      <c r="L18" s="76">
        <v>193492</v>
      </c>
      <c r="M18" s="76">
        <f>195936+1200</f>
        <v>197136</v>
      </c>
      <c r="N18" s="76">
        <f>198380+1200</f>
        <v>199580</v>
      </c>
      <c r="O18" s="76">
        <f>200824+1100</f>
        <v>201924</v>
      </c>
      <c r="P18" s="77">
        <v>2.17</v>
      </c>
      <c r="Q18" s="78"/>
      <c r="R18" s="233">
        <v>250</v>
      </c>
      <c r="S18" s="233">
        <v>125</v>
      </c>
      <c r="T18" s="74"/>
      <c r="U18" s="79">
        <v>500</v>
      </c>
      <c r="V18" s="79">
        <v>100</v>
      </c>
      <c r="W18" s="151" t="s">
        <v>524</v>
      </c>
      <c r="X18" s="80" t="s">
        <v>531</v>
      </c>
    </row>
    <row r="19" spans="1:24" ht="13.5" customHeight="1" x14ac:dyDescent="0.25">
      <c r="A19" s="72">
        <v>182900</v>
      </c>
      <c r="B19" s="73" t="s">
        <v>502</v>
      </c>
      <c r="C19" s="17"/>
      <c r="D19" s="16" t="str">
        <f t="shared" si="0"/>
        <v/>
      </c>
      <c r="E19" s="16" t="str">
        <f t="shared" si="1"/>
        <v/>
      </c>
      <c r="F19" s="16" t="str">
        <f t="shared" si="4"/>
        <v/>
      </c>
      <c r="G19" s="16" t="str">
        <f>IF(C19&gt;=1, (K19-C19)*(1+$P19*$G$4/100)/$G$4+Q19+S19,"")</f>
        <v/>
      </c>
      <c r="H19" s="16" t="str">
        <f>IF(C19&gt;=1, (K19-C19)*(1+$P19*$H$4/100)/$H$4+Q19+S19, "")</f>
        <v/>
      </c>
      <c r="I19" s="16" t="str">
        <f t="shared" si="2"/>
        <v/>
      </c>
      <c r="J19" s="74"/>
      <c r="K19" s="75">
        <f>189492</f>
        <v>189492</v>
      </c>
      <c r="L19" s="76">
        <f>183492</f>
        <v>183492</v>
      </c>
      <c r="M19" s="76">
        <f>185425+1200</f>
        <v>186625</v>
      </c>
      <c r="N19" s="76">
        <f>187358+1200</f>
        <v>188558</v>
      </c>
      <c r="O19" s="76">
        <f>189292+1100</f>
        <v>190392</v>
      </c>
      <c r="P19" s="77">
        <v>2.17</v>
      </c>
      <c r="Q19" s="78"/>
      <c r="R19" s="233">
        <v>250</v>
      </c>
      <c r="S19" s="233">
        <v>125</v>
      </c>
      <c r="T19" s="74"/>
      <c r="U19" s="79">
        <v>500</v>
      </c>
      <c r="V19" s="79">
        <v>100</v>
      </c>
      <c r="W19" s="151" t="s">
        <v>524</v>
      </c>
      <c r="X19" s="80" t="s">
        <v>532</v>
      </c>
    </row>
    <row r="20" spans="1:24" ht="13.5" customHeight="1" x14ac:dyDescent="0.25">
      <c r="A20" s="72">
        <v>156000</v>
      </c>
      <c r="B20" s="81" t="s">
        <v>139</v>
      </c>
      <c r="C20" s="17"/>
      <c r="D20" s="16" t="str">
        <f t="shared" si="0"/>
        <v/>
      </c>
      <c r="E20" s="16" t="str">
        <f t="shared" si="1"/>
        <v/>
      </c>
      <c r="F20" s="16" t="str">
        <f t="shared" si="4"/>
        <v/>
      </c>
      <c r="G20" s="16" t="str">
        <f t="shared" ref="G20:G23" si="11">IF(C20&gt;=1, (K20-C20)*(1+$P20*$G$4/100)/$G$4+Q20+S20,"")</f>
        <v/>
      </c>
      <c r="H20" s="16" t="str">
        <f>IF(C20&gt;=1, (K20-C20)*(1+$P20*$H$4/100)/$H$4+Q20+S20, "")</f>
        <v/>
      </c>
      <c r="I20" s="16" t="str">
        <f t="shared" si="2"/>
        <v/>
      </c>
      <c r="J20" s="74"/>
      <c r="K20" s="75">
        <v>162285</v>
      </c>
      <c r="L20" s="76">
        <v>157777</v>
      </c>
      <c r="M20" s="76">
        <v>160239</v>
      </c>
      <c r="N20" s="76">
        <f>161742+260</f>
        <v>162002</v>
      </c>
      <c r="O20" s="76">
        <f>163145+260</f>
        <v>163405</v>
      </c>
      <c r="P20" s="77">
        <v>2.5</v>
      </c>
      <c r="Q20" s="78"/>
      <c r="R20" s="233">
        <v>250</v>
      </c>
      <c r="S20" s="233">
        <v>125</v>
      </c>
      <c r="T20" s="74"/>
      <c r="U20" s="79">
        <v>300</v>
      </c>
      <c r="V20" s="79">
        <v>100</v>
      </c>
      <c r="W20" s="80"/>
      <c r="X20" s="80"/>
    </row>
    <row r="21" spans="1:24" ht="13.5" customHeight="1" x14ac:dyDescent="0.25">
      <c r="A21" s="72">
        <v>112800</v>
      </c>
      <c r="B21" s="81" t="s">
        <v>140</v>
      </c>
      <c r="C21" s="17"/>
      <c r="D21" s="16" t="str">
        <f t="shared" si="0"/>
        <v/>
      </c>
      <c r="E21" s="16" t="str">
        <f t="shared" si="1"/>
        <v/>
      </c>
      <c r="F21" s="16" t="str">
        <f>IF(C21&gt;=1,(K21-C21)*(1+$P21*$F$4/100)/$F$4+Q21+S21, "")</f>
        <v/>
      </c>
      <c r="G21" s="16" t="str">
        <f t="shared" si="11"/>
        <v/>
      </c>
      <c r="H21" s="16" t="str">
        <f t="shared" ref="H21:H50" si="12">IF(C21&gt;=1, (K21-C21)*(1+$P21*$H$4/100)/$H$4+Q21+S21, "")</f>
        <v/>
      </c>
      <c r="I21" s="16" t="str">
        <f t="shared" si="2"/>
        <v/>
      </c>
      <c r="J21" s="74"/>
      <c r="K21" s="75">
        <v>119362</v>
      </c>
      <c r="L21" s="76">
        <v>116046</v>
      </c>
      <c r="M21" s="76">
        <f>118111+240</f>
        <v>118351</v>
      </c>
      <c r="N21" s="76">
        <f>119217+240</f>
        <v>119457</v>
      </c>
      <c r="O21" s="76">
        <f>120222+240</f>
        <v>120462</v>
      </c>
      <c r="P21" s="77">
        <v>2.5</v>
      </c>
      <c r="Q21" s="78"/>
      <c r="R21" s="233">
        <v>250</v>
      </c>
      <c r="S21" s="233">
        <v>125</v>
      </c>
      <c r="T21" s="74"/>
      <c r="U21" s="79">
        <v>300</v>
      </c>
      <c r="V21" s="79">
        <v>100</v>
      </c>
      <c r="W21" s="80"/>
      <c r="X21" s="80"/>
    </row>
    <row r="22" spans="1:24" ht="13.5" customHeight="1" x14ac:dyDescent="0.25">
      <c r="A22" s="72">
        <v>133900</v>
      </c>
      <c r="B22" s="81" t="s">
        <v>278</v>
      </c>
      <c r="C22" s="17"/>
      <c r="D22" s="16" t="str">
        <f t="shared" si="0"/>
        <v/>
      </c>
      <c r="E22" s="16" t="str">
        <f t="shared" si="1"/>
        <v/>
      </c>
      <c r="F22" s="16" t="str">
        <f>IF(C22&gt;=1,(K22-C22)*(1+$P22*$F$4/100)/$F$4+Q22+S22, "")</f>
        <v/>
      </c>
      <c r="G22" s="16" t="str">
        <f t="shared" si="11"/>
        <v/>
      </c>
      <c r="H22" s="16" t="str">
        <f t="shared" si="12"/>
        <v/>
      </c>
      <c r="I22" s="16" t="str">
        <f t="shared" si="2"/>
        <v/>
      </c>
      <c r="J22" s="74"/>
      <c r="K22" s="75">
        <f>139045</f>
        <v>139045</v>
      </c>
      <c r="L22" s="76">
        <f>134492</f>
        <v>134492</v>
      </c>
      <c r="M22" s="76">
        <f>136009+1200</f>
        <v>137209</v>
      </c>
      <c r="N22" s="76">
        <f>137527+1200</f>
        <v>138727</v>
      </c>
      <c r="O22" s="76">
        <f>139045+1100</f>
        <v>140145</v>
      </c>
      <c r="P22" s="77">
        <v>2.5</v>
      </c>
      <c r="Q22" s="78"/>
      <c r="R22" s="233">
        <v>250</v>
      </c>
      <c r="S22" s="233">
        <v>125</v>
      </c>
      <c r="T22" s="74"/>
      <c r="U22" s="79">
        <v>300</v>
      </c>
      <c r="V22" s="79">
        <v>100</v>
      </c>
      <c r="W22" s="151" t="s">
        <v>461</v>
      </c>
      <c r="X22" s="80" t="s">
        <v>462</v>
      </c>
    </row>
    <row r="23" spans="1:24" x14ac:dyDescent="0.25">
      <c r="A23" s="72">
        <v>93900</v>
      </c>
      <c r="B23" s="73" t="s">
        <v>68</v>
      </c>
      <c r="C23" s="17"/>
      <c r="D23" s="16" t="str">
        <f t="shared" si="0"/>
        <v/>
      </c>
      <c r="E23" s="16" t="str">
        <f t="shared" si="1"/>
        <v/>
      </c>
      <c r="F23" s="16" t="str">
        <f t="shared" ref="F23:F29" si="13">IF(C23&gt;=1,(K23-C23)*(1+$P23*$F$4/100)/$F$4+Q23+S23, "")</f>
        <v/>
      </c>
      <c r="G23" s="16" t="str">
        <f t="shared" si="11"/>
        <v/>
      </c>
      <c r="H23" s="16" t="str">
        <f t="shared" si="12"/>
        <v/>
      </c>
      <c r="I23" s="16" t="str">
        <f t="shared" si="2"/>
        <v/>
      </c>
      <c r="J23" s="74"/>
      <c r="K23" s="75">
        <v>101703</v>
      </c>
      <c r="L23" s="76">
        <v>94600</v>
      </c>
      <c r="M23" s="76">
        <f>96968+1200</f>
        <v>98168</v>
      </c>
      <c r="N23" s="76">
        <f>99336+1200</f>
        <v>100536</v>
      </c>
      <c r="O23" s="76">
        <f>101703+1100</f>
        <v>102803</v>
      </c>
      <c r="P23" s="77">
        <v>3</v>
      </c>
      <c r="Q23" s="78"/>
      <c r="R23" s="233">
        <v>250</v>
      </c>
      <c r="S23" s="233">
        <v>125</v>
      </c>
      <c r="T23" s="74"/>
      <c r="U23" s="79">
        <v>500</v>
      </c>
      <c r="V23" s="79">
        <v>100</v>
      </c>
      <c r="W23" s="80"/>
      <c r="X23" s="80"/>
    </row>
    <row r="24" spans="1:24" x14ac:dyDescent="0.25">
      <c r="A24" s="72">
        <v>95900</v>
      </c>
      <c r="B24" s="73" t="s">
        <v>137</v>
      </c>
      <c r="C24" s="17"/>
      <c r="D24" s="16" t="str">
        <f t="shared" si="0"/>
        <v/>
      </c>
      <c r="E24" s="16" t="str">
        <f t="shared" si="1"/>
        <v/>
      </c>
      <c r="F24" s="16" t="str">
        <f t="shared" si="13"/>
        <v/>
      </c>
      <c r="G24" s="16" t="str">
        <f>IF(C24&gt;=1, (K24-C24)*(1+$P24*$G$4/100)/$G$4+Q24+S24,"")</f>
        <v/>
      </c>
      <c r="H24" s="16" t="str">
        <f t="shared" si="12"/>
        <v/>
      </c>
      <c r="I24" s="16" t="str">
        <f t="shared" si="2"/>
        <v/>
      </c>
      <c r="J24" s="74"/>
      <c r="K24" s="75">
        <v>103703</v>
      </c>
      <c r="L24" s="76">
        <v>93800</v>
      </c>
      <c r="M24" s="76">
        <f>99928+240</f>
        <v>100168</v>
      </c>
      <c r="N24" s="76">
        <f>102296+240</f>
        <v>102536</v>
      </c>
      <c r="O24" s="76">
        <f>104563+240</f>
        <v>104803</v>
      </c>
      <c r="P24" s="77">
        <v>2.17</v>
      </c>
      <c r="Q24" s="78"/>
      <c r="R24" s="233">
        <v>250</v>
      </c>
      <c r="S24" s="233">
        <v>125</v>
      </c>
      <c r="T24" s="74"/>
      <c r="U24" s="79">
        <v>500</v>
      </c>
      <c r="V24" s="79">
        <v>100</v>
      </c>
      <c r="W24" s="80"/>
      <c r="X24" s="80"/>
    </row>
    <row r="25" spans="1:24" x14ac:dyDescent="0.25">
      <c r="A25" s="72">
        <v>96900</v>
      </c>
      <c r="B25" s="73" t="s">
        <v>132</v>
      </c>
      <c r="C25" s="17"/>
      <c r="D25" s="16" t="str">
        <f t="shared" si="0"/>
        <v/>
      </c>
      <c r="E25" s="16" t="str">
        <f t="shared" si="1"/>
        <v/>
      </c>
      <c r="F25" s="16" t="str">
        <f t="shared" si="13"/>
        <v/>
      </c>
      <c r="G25" s="16" t="str">
        <f>IF(C25&gt;=1, (K25-C25)*(1+$P25*$G$4/100)/$G$4+Q25+S25,"")</f>
        <v/>
      </c>
      <c r="H25" s="16" t="str">
        <f t="shared" si="12"/>
        <v/>
      </c>
      <c r="I25" s="16" t="str">
        <f t="shared" si="2"/>
        <v/>
      </c>
      <c r="J25" s="74"/>
      <c r="K25" s="75">
        <v>104703</v>
      </c>
      <c r="L25" s="76">
        <v>97600</v>
      </c>
      <c r="M25" s="76">
        <f>99967+1200</f>
        <v>101167</v>
      </c>
      <c r="N25" s="76">
        <f>102335+1200</f>
        <v>103535</v>
      </c>
      <c r="O25" s="76">
        <f>104703+1100</f>
        <v>105803</v>
      </c>
      <c r="P25" s="77">
        <v>2.17</v>
      </c>
      <c r="Q25" s="78"/>
      <c r="R25" s="233">
        <v>250</v>
      </c>
      <c r="S25" s="233">
        <v>125</v>
      </c>
      <c r="T25" s="74"/>
      <c r="U25" s="79">
        <v>500</v>
      </c>
      <c r="V25" s="79">
        <v>100</v>
      </c>
      <c r="W25" s="80"/>
      <c r="X25" s="80"/>
    </row>
    <row r="26" spans="1:24" x14ac:dyDescent="0.25">
      <c r="A26" s="72">
        <v>118400</v>
      </c>
      <c r="B26" s="73" t="s">
        <v>450</v>
      </c>
      <c r="C26" s="17"/>
      <c r="D26" s="16" t="str">
        <f t="shared" si="0"/>
        <v/>
      </c>
      <c r="E26" s="16" t="str">
        <f t="shared" si="1"/>
        <v/>
      </c>
      <c r="F26" s="16" t="str">
        <f t="shared" si="13"/>
        <v/>
      </c>
      <c r="G26" s="16" t="str">
        <f>IF(C26&gt;=1, (K26-C26)*(1+$P26*$G$4/100)/$G$4+Q26+S26,"")</f>
        <v/>
      </c>
      <c r="H26" s="16" t="str">
        <f t="shared" si="12"/>
        <v/>
      </c>
      <c r="I26" s="16" t="str">
        <f t="shared" si="2"/>
        <v/>
      </c>
      <c r="J26" s="74"/>
      <c r="K26" s="75">
        <f>123210</f>
        <v>123210</v>
      </c>
      <c r="L26" s="76">
        <f>118992</f>
        <v>118992</v>
      </c>
      <c r="M26" s="76">
        <f>120398+1200</f>
        <v>121598</v>
      </c>
      <c r="N26" s="76">
        <f>121804+1200</f>
        <v>123004</v>
      </c>
      <c r="O26" s="76">
        <f>123210+1100</f>
        <v>124310</v>
      </c>
      <c r="P26" s="77">
        <v>2.17</v>
      </c>
      <c r="Q26" s="78"/>
      <c r="R26" s="233">
        <v>250</v>
      </c>
      <c r="S26" s="233">
        <v>125</v>
      </c>
      <c r="T26" s="74"/>
      <c r="U26" s="79">
        <v>500</v>
      </c>
      <c r="V26" s="79">
        <v>100</v>
      </c>
      <c r="W26" s="151" t="s">
        <v>495</v>
      </c>
      <c r="X26" s="151" t="s">
        <v>496</v>
      </c>
    </row>
    <row r="27" spans="1:24" x14ac:dyDescent="0.25">
      <c r="A27" s="72">
        <v>121900</v>
      </c>
      <c r="B27" s="82" t="s">
        <v>533</v>
      </c>
      <c r="C27" s="17"/>
      <c r="D27" s="16" t="str">
        <f t="shared" si="0"/>
        <v/>
      </c>
      <c r="E27" s="16" t="str">
        <f t="shared" si="1"/>
        <v/>
      </c>
      <c r="F27" s="16" t="str">
        <f t="shared" si="13"/>
        <v/>
      </c>
      <c r="G27" s="16" t="str">
        <f>IF(C27&gt;=1, (K27-C27)*(1+$P27*$G$4/100)/$G$4+Q27+S27,"")</f>
        <v/>
      </c>
      <c r="H27" s="16" t="str">
        <f t="shared" si="12"/>
        <v/>
      </c>
      <c r="I27" s="16" t="str">
        <f t="shared" si="2"/>
        <v/>
      </c>
      <c r="J27" s="74"/>
      <c r="K27" s="75">
        <f>126710</f>
        <v>126710</v>
      </c>
      <c r="L27" s="76">
        <f>122492</f>
        <v>122492</v>
      </c>
      <c r="M27" s="76">
        <f>123898+1200</f>
        <v>125098</v>
      </c>
      <c r="N27" s="76">
        <f>125304+1200</f>
        <v>126504</v>
      </c>
      <c r="O27" s="76">
        <f>126710+1100</f>
        <v>127810</v>
      </c>
      <c r="P27" s="77">
        <v>2.17</v>
      </c>
      <c r="Q27" s="78"/>
      <c r="R27" s="233">
        <v>250</v>
      </c>
      <c r="S27" s="233">
        <v>125</v>
      </c>
      <c r="T27" s="74"/>
      <c r="U27" s="79">
        <v>500</v>
      </c>
      <c r="V27" s="79">
        <v>100</v>
      </c>
      <c r="W27" s="151" t="s">
        <v>582</v>
      </c>
      <c r="X27" s="151" t="s">
        <v>591</v>
      </c>
    </row>
    <row r="28" spans="1:24" x14ac:dyDescent="0.25">
      <c r="A28" s="72">
        <v>108900</v>
      </c>
      <c r="B28" s="73" t="s">
        <v>589</v>
      </c>
      <c r="C28" s="17"/>
      <c r="D28" s="16" t="str">
        <f t="shared" si="0"/>
        <v/>
      </c>
      <c r="E28" s="16" t="str">
        <f t="shared" si="1"/>
        <v/>
      </c>
      <c r="F28" s="16" t="str">
        <f t="shared" si="13"/>
        <v/>
      </c>
      <c r="G28" s="16" t="str">
        <f t="shared" ref="G28:G33" si="14">IF(C28&gt;=1, (K28-C28)*(1+$P28*$G$4/100)/$G$4+Q28+S28,"")</f>
        <v/>
      </c>
      <c r="H28" s="16" t="str">
        <f t="shared" si="12"/>
        <v/>
      </c>
      <c r="I28" s="16" t="str">
        <f t="shared" si="2"/>
        <v/>
      </c>
      <c r="J28" s="74"/>
      <c r="K28" s="75">
        <f>116765</f>
        <v>116765</v>
      </c>
      <c r="L28" s="76">
        <f>110072</f>
        <v>110072</v>
      </c>
      <c r="M28" s="76">
        <f>112303+1200</f>
        <v>113503</v>
      </c>
      <c r="N28" s="76">
        <f>114534+1200</f>
        <v>115734</v>
      </c>
      <c r="O28" s="76">
        <f>116765+1100</f>
        <v>117865</v>
      </c>
      <c r="P28" s="77">
        <v>2.17</v>
      </c>
      <c r="Q28" s="78"/>
      <c r="R28" s="233">
        <v>250</v>
      </c>
      <c r="S28" s="233">
        <v>125</v>
      </c>
      <c r="T28" s="74"/>
      <c r="U28" s="79">
        <v>500</v>
      </c>
      <c r="V28" s="79">
        <v>100</v>
      </c>
      <c r="W28" s="151" t="s">
        <v>582</v>
      </c>
      <c r="X28" s="80" t="s">
        <v>590</v>
      </c>
    </row>
    <row r="29" spans="1:24" x14ac:dyDescent="0.25">
      <c r="A29" s="72">
        <v>106900</v>
      </c>
      <c r="B29" s="73" t="s">
        <v>359</v>
      </c>
      <c r="C29" s="17"/>
      <c r="D29" s="16" t="str">
        <f t="shared" si="0"/>
        <v/>
      </c>
      <c r="E29" s="16" t="str">
        <f t="shared" si="1"/>
        <v/>
      </c>
      <c r="F29" s="16" t="str">
        <f t="shared" si="13"/>
        <v/>
      </c>
      <c r="G29" s="16" t="str">
        <f t="shared" si="14"/>
        <v/>
      </c>
      <c r="H29" s="16" t="str">
        <f t="shared" si="12"/>
        <v/>
      </c>
      <c r="I29" s="16" t="str">
        <f t="shared" si="2"/>
        <v/>
      </c>
      <c r="J29" s="74"/>
      <c r="K29" s="75">
        <f>114765</f>
        <v>114765</v>
      </c>
      <c r="L29" s="76">
        <f>108072</f>
        <v>108072</v>
      </c>
      <c r="M29" s="76">
        <f>110303+1200</f>
        <v>111503</v>
      </c>
      <c r="N29" s="76">
        <f>112534+1200</f>
        <v>113734</v>
      </c>
      <c r="O29" s="76">
        <f>114765+1100</f>
        <v>115865</v>
      </c>
      <c r="P29" s="77">
        <v>2.17</v>
      </c>
      <c r="Q29" s="78"/>
      <c r="R29" s="233">
        <v>250</v>
      </c>
      <c r="S29" s="233">
        <v>125</v>
      </c>
      <c r="T29" s="74"/>
      <c r="U29" s="79">
        <v>500</v>
      </c>
      <c r="V29" s="79">
        <v>100</v>
      </c>
      <c r="W29" s="151" t="s">
        <v>524</v>
      </c>
      <c r="X29" s="80" t="s">
        <v>525</v>
      </c>
    </row>
    <row r="30" spans="1:24" x14ac:dyDescent="0.25">
      <c r="A30" s="72">
        <v>146400</v>
      </c>
      <c r="B30" s="73" t="s">
        <v>730</v>
      </c>
      <c r="C30" s="17">
        <v>50000</v>
      </c>
      <c r="D30" s="16">
        <f t="shared" ref="D30" si="15">IF(C30&gt;=1,(K30-C30)*(1+P30*$D$4/100)/$D$4+Q30+R30,"")</f>
        <v>19187.6312</v>
      </c>
      <c r="E30" s="16">
        <f t="shared" ref="E30" si="16">IF(C30&gt;=1,(K30-C30)*(1+P30*$E$4/100)/$E$4+Q30+S30,"")</f>
        <v>10684.6312</v>
      </c>
      <c r="F30" s="16">
        <f t="shared" ref="F30" si="17">IF(C30&gt;=1,(K30-C30)*(1+$P30*$F$4/100)/$F$4+Q30+S30, "")</f>
        <v>7891.9645333333337</v>
      </c>
      <c r="G30" s="16">
        <f t="shared" ref="G30" si="18">IF(C30&gt;=1, (K30-C30)*(1+$P30*$G$4/100)/$G$4+Q30+S30,"")</f>
        <v>6495.6311999999998</v>
      </c>
      <c r="H30" s="16">
        <f t="shared" ref="H30" si="19">IF(C30&gt;=1, (K30-C30)*(1+$P30*$H$4/100)/$H$4+Q30+S30, "")</f>
        <v>5657.8311999999996</v>
      </c>
      <c r="I30" s="16">
        <f t="shared" ref="I30" si="20">IF(C30&gt;=1, (K30-C30)*(1+$P30*$I$4/100)/$I$4+Q30+S30, "")</f>
        <v>5099.2978666666668</v>
      </c>
      <c r="J30" s="74"/>
      <c r="K30" s="75">
        <f>150536</f>
        <v>150536</v>
      </c>
      <c r="L30" s="76">
        <v>146400</v>
      </c>
      <c r="M30" s="76">
        <f>147779+1200</f>
        <v>148979</v>
      </c>
      <c r="N30" s="76">
        <f>149157+1200</f>
        <v>150357</v>
      </c>
      <c r="O30" s="76">
        <f>150536+1100</f>
        <v>151636</v>
      </c>
      <c r="P30" s="77">
        <v>2.17</v>
      </c>
      <c r="Q30" s="78"/>
      <c r="R30" s="233">
        <v>250</v>
      </c>
      <c r="S30" s="233">
        <v>125</v>
      </c>
      <c r="T30" s="74"/>
      <c r="U30" s="79">
        <v>500</v>
      </c>
      <c r="V30" s="79">
        <v>100</v>
      </c>
      <c r="W30" s="151" t="s">
        <v>731</v>
      </c>
      <c r="X30" s="80" t="s">
        <v>732</v>
      </c>
    </row>
    <row r="31" spans="1:24" x14ac:dyDescent="0.25">
      <c r="A31" s="72">
        <v>130000</v>
      </c>
      <c r="B31" s="73" t="s">
        <v>734</v>
      </c>
      <c r="C31" s="17">
        <v>50000</v>
      </c>
      <c r="D31" s="16">
        <f t="shared" ref="D31" si="21">IF(C31&gt;=1,(K31-C31)*(1+P31*$D$4/100)/$D$4+Q31+R31,"")</f>
        <v>16175.083099999998</v>
      </c>
      <c r="E31" s="16">
        <f t="shared" ref="E31" si="22">IF(C31&gt;=1,(K31-C31)*(1+P31*$E$4/100)/$E$4+Q31+S31,"")</f>
        <v>9004.8330999999998</v>
      </c>
      <c r="F31" s="16">
        <f t="shared" ref="F31" si="23">IF(C31&gt;=1,(K31-C31)*(1+$P31*$F$4/100)/$F$4+Q31+S31, "")</f>
        <v>6656.4164333333338</v>
      </c>
      <c r="G31" s="16">
        <f t="shared" ref="G31" si="24">IF(C31&gt;=1, (K31-C31)*(1+$P31*$G$4/100)/$G$4+Q31+S31,"")</f>
        <v>5482.2080999999998</v>
      </c>
      <c r="H31" s="16">
        <f t="shared" ref="H31" si="25">IF(C31&gt;=1, (K31-C31)*(1+$P31*$H$4/100)/$H$4+Q31+S31, "")</f>
        <v>4777.6830999999993</v>
      </c>
      <c r="I31" s="16">
        <f t="shared" ref="I31" si="26">IF(C31&gt;=1, (K31-C31)*(1+$P31*$I$4/100)/$I$4+Q31+S31, "")</f>
        <v>4307.9997666666668</v>
      </c>
      <c r="J31" s="74"/>
      <c r="K31" s="75">
        <f>134543</f>
        <v>134543</v>
      </c>
      <c r="L31" s="76">
        <v>130000</v>
      </c>
      <c r="M31" s="76">
        <f>131514+1200</f>
        <v>132714</v>
      </c>
      <c r="N31" s="76">
        <f>133029+1200</f>
        <v>134229</v>
      </c>
      <c r="O31" s="76">
        <f>134543+1100</f>
        <v>135643</v>
      </c>
      <c r="P31" s="77">
        <v>2.17</v>
      </c>
      <c r="Q31" s="78"/>
      <c r="R31" s="233">
        <v>250</v>
      </c>
      <c r="S31" s="233">
        <v>125</v>
      </c>
      <c r="T31" s="74"/>
      <c r="U31" s="79">
        <v>500</v>
      </c>
      <c r="V31" s="79">
        <v>100</v>
      </c>
      <c r="W31" s="151" t="s">
        <v>731</v>
      </c>
      <c r="X31" s="80" t="s">
        <v>735</v>
      </c>
    </row>
    <row r="32" spans="1:24" x14ac:dyDescent="0.25">
      <c r="A32" s="72">
        <v>97900</v>
      </c>
      <c r="B32" s="82" t="s">
        <v>167</v>
      </c>
      <c r="C32" s="17"/>
      <c r="D32" s="16" t="str">
        <f t="shared" si="0"/>
        <v/>
      </c>
      <c r="E32" s="16" t="str">
        <f t="shared" si="1"/>
        <v/>
      </c>
      <c r="F32" s="16" t="str">
        <f t="shared" ref="F32:F54" si="27">IF(C32&gt;=1,(K32-C32)*(1+$P32*$F$4/100)/$F$4+Q32+S32, "")</f>
        <v/>
      </c>
      <c r="G32" s="16" t="str">
        <f t="shared" si="14"/>
        <v/>
      </c>
      <c r="H32" s="16" t="str">
        <f t="shared" si="12"/>
        <v/>
      </c>
      <c r="I32" s="16" t="str">
        <f t="shared" si="2"/>
        <v/>
      </c>
      <c r="J32" s="74"/>
      <c r="K32" s="75">
        <v>105173</v>
      </c>
      <c r="L32" s="76">
        <v>98480</v>
      </c>
      <c r="M32" s="76">
        <f>100711+1200</f>
        <v>101911</v>
      </c>
      <c r="N32" s="76">
        <f>102942+1200</f>
        <v>104142</v>
      </c>
      <c r="O32" s="76">
        <f>105173+1100</f>
        <v>106273</v>
      </c>
      <c r="P32" s="77">
        <v>2.17</v>
      </c>
      <c r="Q32" s="78"/>
      <c r="R32" s="233">
        <v>250</v>
      </c>
      <c r="S32" s="233">
        <v>125</v>
      </c>
      <c r="T32" s="74"/>
      <c r="U32" s="79">
        <v>500</v>
      </c>
      <c r="V32" s="79">
        <v>100</v>
      </c>
      <c r="W32" s="80">
        <v>43890</v>
      </c>
      <c r="X32" s="80" t="s">
        <v>236</v>
      </c>
    </row>
    <row r="33" spans="1:24" x14ac:dyDescent="0.25">
      <c r="A33" s="72">
        <v>60900</v>
      </c>
      <c r="B33" s="73" t="s">
        <v>69</v>
      </c>
      <c r="C33" s="17"/>
      <c r="D33" s="16" t="str">
        <f t="shared" si="0"/>
        <v/>
      </c>
      <c r="E33" s="16" t="str">
        <f t="shared" si="1"/>
        <v/>
      </c>
      <c r="F33" s="16" t="str">
        <f t="shared" si="27"/>
        <v/>
      </c>
      <c r="G33" s="16" t="str">
        <f t="shared" si="14"/>
        <v/>
      </c>
      <c r="H33" s="16" t="str">
        <f t="shared" si="12"/>
        <v/>
      </c>
      <c r="I33" s="16" t="str">
        <f t="shared" si="2"/>
        <v/>
      </c>
      <c r="J33" s="74"/>
      <c r="K33" s="75">
        <v>65795</v>
      </c>
      <c r="L33" s="76">
        <v>62600</v>
      </c>
      <c r="M33" s="76">
        <f>64565+60+240</f>
        <v>64865</v>
      </c>
      <c r="N33" s="76">
        <f>65630+60+240</f>
        <v>65930</v>
      </c>
      <c r="O33" s="76">
        <f>66595+60+240</f>
        <v>66895</v>
      </c>
      <c r="P33" s="77">
        <v>3</v>
      </c>
      <c r="Q33" s="78"/>
      <c r="R33" s="233">
        <v>250</v>
      </c>
      <c r="S33" s="233">
        <v>125</v>
      </c>
      <c r="T33" s="74"/>
      <c r="U33" s="79">
        <v>800</v>
      </c>
      <c r="V33" s="79">
        <v>100</v>
      </c>
      <c r="W33" s="80"/>
      <c r="X33" s="80"/>
    </row>
    <row r="34" spans="1:24" x14ac:dyDescent="0.25">
      <c r="A34" s="72">
        <v>64900</v>
      </c>
      <c r="B34" s="73" t="s">
        <v>81</v>
      </c>
      <c r="C34" s="17"/>
      <c r="D34" s="16" t="str">
        <f t="shared" si="0"/>
        <v/>
      </c>
      <c r="E34" s="16" t="str">
        <f t="shared" si="1"/>
        <v/>
      </c>
      <c r="F34" s="16" t="str">
        <f t="shared" si="27"/>
        <v/>
      </c>
      <c r="G34" s="16" t="str">
        <f>IF(C34&gt;=1, (K34-C34)*(1+$P34*$G$4/100)/$G$4+Q34+S34,"")</f>
        <v/>
      </c>
      <c r="H34" s="16" t="str">
        <f t="shared" si="12"/>
        <v/>
      </c>
      <c r="I34" s="16" t="str">
        <f t="shared" si="2"/>
        <v/>
      </c>
      <c r="J34" s="74"/>
      <c r="K34" s="75">
        <v>68163</v>
      </c>
      <c r="L34" s="76">
        <v>66587</v>
      </c>
      <c r="M34" s="76">
        <f>68072+240</f>
        <v>68312</v>
      </c>
      <c r="N34" s="76">
        <f>68597+240</f>
        <v>68837</v>
      </c>
      <c r="O34" s="76">
        <f>69023+240</f>
        <v>69263</v>
      </c>
      <c r="P34" s="77">
        <v>3</v>
      </c>
      <c r="Q34" s="78"/>
      <c r="R34" s="233">
        <v>250</v>
      </c>
      <c r="S34" s="233">
        <v>125</v>
      </c>
      <c r="T34" s="74"/>
      <c r="U34" s="79">
        <v>700</v>
      </c>
      <c r="V34" s="79">
        <v>100</v>
      </c>
      <c r="W34" s="80"/>
      <c r="X34" s="80"/>
    </row>
    <row r="35" spans="1:24" x14ac:dyDescent="0.25">
      <c r="A35" s="72">
        <v>69900</v>
      </c>
      <c r="B35" s="73" t="s">
        <v>146</v>
      </c>
      <c r="C35" s="17"/>
      <c r="D35" s="16" t="str">
        <f t="shared" si="0"/>
        <v/>
      </c>
      <c r="E35" s="16" t="str">
        <f t="shared" si="1"/>
        <v/>
      </c>
      <c r="F35" s="16" t="str">
        <f t="shared" si="27"/>
        <v/>
      </c>
      <c r="G35" s="16" t="str">
        <f>IF(C35&gt;=1, (K35-C35)*(1+$P35*$G$4/100)/$G$4+Q35+S35,"")</f>
        <v/>
      </c>
      <c r="H35" s="16" t="str">
        <f t="shared" si="12"/>
        <v/>
      </c>
      <c r="I35" s="16" t="str">
        <f t="shared" si="2"/>
        <v/>
      </c>
      <c r="J35" s="74"/>
      <c r="K35" s="75">
        <v>72655</v>
      </c>
      <c r="L35" s="76">
        <v>71302</v>
      </c>
      <c r="M35" s="76">
        <f>71753+1200</f>
        <v>72953</v>
      </c>
      <c r="N35" s="76">
        <f>72204+1200</f>
        <v>73404</v>
      </c>
      <c r="O35" s="76">
        <f>72655+1100</f>
        <v>73755</v>
      </c>
      <c r="P35" s="77">
        <v>3</v>
      </c>
      <c r="Q35" s="78"/>
      <c r="R35" s="233">
        <v>250</v>
      </c>
      <c r="S35" s="233">
        <v>125</v>
      </c>
      <c r="T35" s="74"/>
      <c r="U35" s="79">
        <v>700</v>
      </c>
      <c r="V35" s="79">
        <v>100</v>
      </c>
      <c r="W35" s="80"/>
      <c r="X35" s="80"/>
    </row>
    <row r="36" spans="1:24" x14ac:dyDescent="0.25">
      <c r="A36" s="72">
        <v>64900</v>
      </c>
      <c r="B36" s="73" t="s">
        <v>154</v>
      </c>
      <c r="C36" s="17"/>
      <c r="D36" s="16" t="str">
        <f t="shared" si="0"/>
        <v/>
      </c>
      <c r="E36" s="16" t="str">
        <f t="shared" si="1"/>
        <v/>
      </c>
      <c r="F36" s="16" t="str">
        <f t="shared" si="27"/>
        <v/>
      </c>
      <c r="G36" s="16" t="str">
        <f>IF(C36&gt;=1, (K36-C36)*(1+$P36*$G$4/100)/$G$4+Q36+S36,"")</f>
        <v/>
      </c>
      <c r="H36" s="16" t="str">
        <f t="shared" si="12"/>
        <v/>
      </c>
      <c r="I36" s="16" t="str">
        <f t="shared" si="2"/>
        <v/>
      </c>
      <c r="J36" s="74"/>
      <c r="K36" s="75">
        <v>68163</v>
      </c>
      <c r="L36" s="76">
        <v>66587</v>
      </c>
      <c r="M36" s="76">
        <f>68072+240</f>
        <v>68312</v>
      </c>
      <c r="N36" s="76">
        <f>68597+240</f>
        <v>68837</v>
      </c>
      <c r="O36" s="76">
        <f>69023+240</f>
        <v>69263</v>
      </c>
      <c r="P36" s="77">
        <v>3</v>
      </c>
      <c r="Q36" s="78"/>
      <c r="R36" s="233">
        <v>250</v>
      </c>
      <c r="S36" s="233">
        <v>125</v>
      </c>
      <c r="T36" s="74"/>
      <c r="U36" s="79">
        <v>700</v>
      </c>
      <c r="V36" s="79">
        <v>100</v>
      </c>
      <c r="W36" s="80"/>
      <c r="X36" s="80"/>
    </row>
    <row r="37" spans="1:24" x14ac:dyDescent="0.25">
      <c r="A37" s="72">
        <v>70900</v>
      </c>
      <c r="B37" s="73" t="s">
        <v>133</v>
      </c>
      <c r="C37" s="17"/>
      <c r="D37" s="16" t="str">
        <f t="shared" si="0"/>
        <v/>
      </c>
      <c r="E37" s="16" t="str">
        <f t="shared" si="1"/>
        <v/>
      </c>
      <c r="F37" s="16" t="str">
        <f t="shared" si="27"/>
        <v/>
      </c>
      <c r="G37" s="16" t="str">
        <f>IF(C37&gt;=1, (K37-C37)*(1+$P37*$G$4/100)/$G$4+Q37+S37,"")</f>
        <v/>
      </c>
      <c r="H37" s="16" t="str">
        <f t="shared" si="12"/>
        <v/>
      </c>
      <c r="I37" s="16" t="str">
        <f t="shared" si="2"/>
        <v/>
      </c>
      <c r="J37" s="74"/>
      <c r="K37" s="75">
        <v>73655</v>
      </c>
      <c r="L37" s="76">
        <v>72302</v>
      </c>
      <c r="M37" s="76">
        <f>72753+1200</f>
        <v>73953</v>
      </c>
      <c r="N37" s="76">
        <f>73204+1200</f>
        <v>74404</v>
      </c>
      <c r="O37" s="76">
        <f>73655+1100</f>
        <v>74755</v>
      </c>
      <c r="P37" s="77">
        <v>2.5</v>
      </c>
      <c r="Q37" s="78"/>
      <c r="R37" s="233">
        <v>250</v>
      </c>
      <c r="S37" s="233">
        <v>125</v>
      </c>
      <c r="T37" s="74"/>
      <c r="U37" s="79">
        <v>600</v>
      </c>
      <c r="V37" s="79">
        <v>100</v>
      </c>
      <c r="W37" s="80"/>
      <c r="X37" s="80"/>
    </row>
    <row r="38" spans="1:24" x14ac:dyDescent="0.25">
      <c r="A38" s="72">
        <v>65900</v>
      </c>
      <c r="B38" s="73" t="s">
        <v>148</v>
      </c>
      <c r="C38" s="17"/>
      <c r="D38" s="16" t="str">
        <f t="shared" si="0"/>
        <v/>
      </c>
      <c r="E38" s="16" t="str">
        <f t="shared" si="1"/>
        <v/>
      </c>
      <c r="F38" s="16" t="str">
        <f t="shared" si="27"/>
        <v/>
      </c>
      <c r="G38" s="16" t="str">
        <f t="shared" ref="G38:G41" si="28">IF(C38&gt;=1, (K38-C38)*(1+$P38*$G$4/100)/$G$4+Q38+S38,"")</f>
        <v/>
      </c>
      <c r="H38" s="16" t="str">
        <f t="shared" si="12"/>
        <v/>
      </c>
      <c r="I38" s="16" t="str">
        <f t="shared" si="2"/>
        <v/>
      </c>
      <c r="J38" s="74"/>
      <c r="K38" s="75">
        <v>69481</v>
      </c>
      <c r="L38" s="76">
        <v>68157</v>
      </c>
      <c r="M38" s="76">
        <f>68598+1200</f>
        <v>69798</v>
      </c>
      <c r="N38" s="76">
        <f>69039+1200</f>
        <v>70239</v>
      </c>
      <c r="O38" s="76">
        <f>69481+1100</f>
        <v>70581</v>
      </c>
      <c r="P38" s="77">
        <v>2.5</v>
      </c>
      <c r="Q38" s="78"/>
      <c r="R38" s="233">
        <v>250</v>
      </c>
      <c r="S38" s="233">
        <v>125</v>
      </c>
      <c r="T38" s="74"/>
      <c r="U38" s="79">
        <v>600</v>
      </c>
      <c r="V38" s="79">
        <v>100</v>
      </c>
      <c r="W38" s="80"/>
      <c r="X38" s="80"/>
    </row>
    <row r="39" spans="1:24" x14ac:dyDescent="0.25">
      <c r="A39" s="72">
        <v>67900</v>
      </c>
      <c r="B39" s="73" t="s">
        <v>149</v>
      </c>
      <c r="C39" s="17"/>
      <c r="D39" s="16" t="str">
        <f t="shared" si="0"/>
        <v/>
      </c>
      <c r="E39" s="16" t="str">
        <f t="shared" si="1"/>
        <v/>
      </c>
      <c r="F39" s="16" t="str">
        <f t="shared" si="27"/>
        <v/>
      </c>
      <c r="G39" s="16" t="str">
        <f t="shared" si="28"/>
        <v/>
      </c>
      <c r="H39" s="16" t="str">
        <f t="shared" si="12"/>
        <v/>
      </c>
      <c r="I39" s="16" t="str">
        <f t="shared" si="2"/>
        <v/>
      </c>
      <c r="J39" s="74"/>
      <c r="K39" s="75">
        <v>71423</v>
      </c>
      <c r="L39" s="76">
        <v>70063</v>
      </c>
      <c r="M39" s="76">
        <f>70516+1200</f>
        <v>71716</v>
      </c>
      <c r="N39" s="76">
        <f>70969+1200</f>
        <v>72169</v>
      </c>
      <c r="O39" s="76">
        <f>71423+1100</f>
        <v>72523</v>
      </c>
      <c r="P39" s="77">
        <v>3</v>
      </c>
      <c r="Q39" s="78"/>
      <c r="R39" s="233">
        <v>250</v>
      </c>
      <c r="S39" s="233">
        <v>125</v>
      </c>
      <c r="T39" s="74"/>
      <c r="U39" s="79">
        <v>700</v>
      </c>
      <c r="V39" s="79">
        <v>100</v>
      </c>
      <c r="W39" s="80"/>
      <c r="X39" s="80"/>
    </row>
    <row r="40" spans="1:24" x14ac:dyDescent="0.25">
      <c r="A40" s="72">
        <v>70900</v>
      </c>
      <c r="B40" s="73" t="s">
        <v>242</v>
      </c>
      <c r="C40" s="17"/>
      <c r="D40" s="16" t="str">
        <f t="shared" si="0"/>
        <v/>
      </c>
      <c r="E40" s="16" t="str">
        <f t="shared" si="1"/>
        <v/>
      </c>
      <c r="F40" s="16" t="str">
        <f t="shared" si="27"/>
        <v/>
      </c>
      <c r="G40" s="16" t="str">
        <f t="shared" si="28"/>
        <v/>
      </c>
      <c r="H40" s="16" t="str">
        <f t="shared" si="12"/>
        <v/>
      </c>
      <c r="I40" s="16" t="str">
        <f t="shared" si="2"/>
        <v/>
      </c>
      <c r="J40" s="74"/>
      <c r="K40" s="75">
        <f>74655</f>
        <v>74655</v>
      </c>
      <c r="L40" s="76">
        <f>73179</f>
        <v>73179</v>
      </c>
      <c r="M40" s="76">
        <f>73671+1200</f>
        <v>74871</v>
      </c>
      <c r="N40" s="76">
        <f>74163+1200</f>
        <v>75363</v>
      </c>
      <c r="O40" s="76">
        <f>74655+1100</f>
        <v>75755</v>
      </c>
      <c r="P40" s="77">
        <v>2.5</v>
      </c>
      <c r="Q40" s="78"/>
      <c r="R40" s="233">
        <v>250</v>
      </c>
      <c r="S40" s="233">
        <v>125</v>
      </c>
      <c r="T40" s="74"/>
      <c r="U40" s="79">
        <v>600</v>
      </c>
      <c r="V40" s="79">
        <v>100</v>
      </c>
      <c r="W40" s="151" t="s">
        <v>582</v>
      </c>
      <c r="X40" s="80" t="s">
        <v>588</v>
      </c>
    </row>
    <row r="41" spans="1:24" x14ac:dyDescent="0.25">
      <c r="A41" s="72">
        <v>63900</v>
      </c>
      <c r="B41" s="73" t="s">
        <v>73</v>
      </c>
      <c r="C41" s="17"/>
      <c r="D41" s="16" t="str">
        <f t="shared" si="0"/>
        <v/>
      </c>
      <c r="E41" s="16" t="str">
        <f t="shared" si="1"/>
        <v/>
      </c>
      <c r="F41" s="16" t="str">
        <f t="shared" si="27"/>
        <v/>
      </c>
      <c r="G41" s="16" t="str">
        <f t="shared" si="28"/>
        <v/>
      </c>
      <c r="H41" s="16" t="str">
        <f t="shared" si="12"/>
        <v/>
      </c>
      <c r="I41" s="16" t="str">
        <f t="shared" si="2"/>
        <v/>
      </c>
      <c r="J41" s="74"/>
      <c r="K41" s="75">
        <v>68095</v>
      </c>
      <c r="L41" s="76">
        <v>65938</v>
      </c>
      <c r="M41" s="76">
        <f>67617+240</f>
        <v>67857</v>
      </c>
      <c r="N41" s="76">
        <f>68336+240</f>
        <v>68576</v>
      </c>
      <c r="O41" s="76">
        <f>68955+240</f>
        <v>69195</v>
      </c>
      <c r="P41" s="77">
        <v>2.17</v>
      </c>
      <c r="Q41" s="78"/>
      <c r="R41" s="233">
        <v>250</v>
      </c>
      <c r="S41" s="233">
        <v>125</v>
      </c>
      <c r="T41" s="74"/>
      <c r="U41" s="79">
        <v>200</v>
      </c>
      <c r="V41" s="79">
        <v>50</v>
      </c>
      <c r="W41" s="80"/>
      <c r="X41" s="80"/>
    </row>
    <row r="42" spans="1:24" x14ac:dyDescent="0.25">
      <c r="A42" s="72">
        <v>58900</v>
      </c>
      <c r="B42" s="73" t="s">
        <v>74</v>
      </c>
      <c r="C42" s="17"/>
      <c r="D42" s="16" t="str">
        <f t="shared" si="0"/>
        <v/>
      </c>
      <c r="E42" s="16" t="str">
        <f t="shared" si="1"/>
        <v/>
      </c>
      <c r="F42" s="16" t="str">
        <f t="shared" si="27"/>
        <v/>
      </c>
      <c r="G42" s="16" t="str">
        <f>IF(C42&gt;=1, (K42-C42)*(1+$P42*$G$4/100)/$G$4+Q42+S42,"")</f>
        <v/>
      </c>
      <c r="H42" s="16" t="str">
        <f t="shared" si="12"/>
        <v/>
      </c>
      <c r="I42" s="16" t="str">
        <f t="shared" si="2"/>
        <v/>
      </c>
      <c r="J42" s="74"/>
      <c r="K42" s="75">
        <v>62795</v>
      </c>
      <c r="L42" s="76">
        <v>61252</v>
      </c>
      <c r="M42" s="76">
        <f>62726+240</f>
        <v>62966</v>
      </c>
      <c r="N42" s="76">
        <f>63240+240</f>
        <v>63480</v>
      </c>
      <c r="O42" s="76">
        <f>63655+240</f>
        <v>63895</v>
      </c>
      <c r="P42" s="77">
        <v>2.17</v>
      </c>
      <c r="Q42" s="78"/>
      <c r="R42" s="233">
        <v>250</v>
      </c>
      <c r="S42" s="233">
        <v>125</v>
      </c>
      <c r="T42" s="74"/>
      <c r="U42" s="79">
        <v>200</v>
      </c>
      <c r="V42" s="79">
        <v>50</v>
      </c>
      <c r="W42" s="80"/>
      <c r="X42" s="80"/>
    </row>
    <row r="43" spans="1:24" x14ac:dyDescent="0.25">
      <c r="A43" s="72">
        <v>70900</v>
      </c>
      <c r="B43" s="73" t="s">
        <v>75</v>
      </c>
      <c r="C43" s="17"/>
      <c r="D43" s="16" t="str">
        <f t="shared" si="0"/>
        <v/>
      </c>
      <c r="E43" s="16" t="str">
        <f t="shared" si="1"/>
        <v/>
      </c>
      <c r="F43" s="16" t="str">
        <f t="shared" si="27"/>
        <v/>
      </c>
      <c r="G43" s="16" t="str">
        <f>IF(C43&gt;=1, (K43-C43)*(1+$P43*$G$4/100)/$G$4+Q43+S43,"")</f>
        <v/>
      </c>
      <c r="H43" s="16" t="str">
        <f t="shared" si="12"/>
        <v/>
      </c>
      <c r="I43" s="16" t="str">
        <f t="shared" si="2"/>
        <v/>
      </c>
      <c r="J43" s="74"/>
      <c r="K43" s="75">
        <v>76195</v>
      </c>
      <c r="L43" s="76">
        <v>73350</v>
      </c>
      <c r="M43" s="76">
        <f>75199+60+240</f>
        <v>75499</v>
      </c>
      <c r="N43" s="76">
        <f>76147+60+240</f>
        <v>76447</v>
      </c>
      <c r="O43" s="76">
        <f>76995+60+240</f>
        <v>77295</v>
      </c>
      <c r="P43" s="77">
        <v>2.17</v>
      </c>
      <c r="Q43" s="78"/>
      <c r="R43" s="233">
        <v>250</v>
      </c>
      <c r="S43" s="233">
        <v>125</v>
      </c>
      <c r="T43" s="74"/>
      <c r="U43" s="79">
        <v>500</v>
      </c>
      <c r="V43" s="79">
        <v>50</v>
      </c>
      <c r="W43" s="80"/>
      <c r="X43" s="80"/>
    </row>
    <row r="44" spans="1:24" x14ac:dyDescent="0.25">
      <c r="A44" s="72">
        <v>78900</v>
      </c>
      <c r="B44" s="73" t="s">
        <v>143</v>
      </c>
      <c r="C44" s="17"/>
      <c r="D44" s="16" t="str">
        <f t="shared" si="0"/>
        <v/>
      </c>
      <c r="E44" s="16" t="str">
        <f t="shared" si="1"/>
        <v/>
      </c>
      <c r="F44" s="16" t="str">
        <f t="shared" si="27"/>
        <v/>
      </c>
      <c r="G44" s="16" t="str">
        <f>IF(C44&gt;=1, (K44-C44)*(1+$P44*$G$4/100)/$G$4+Q44+S44,"")</f>
        <v/>
      </c>
      <c r="H44" s="16" t="str">
        <f t="shared" si="12"/>
        <v/>
      </c>
      <c r="I44" s="16" t="str">
        <f t="shared" si="2"/>
        <v/>
      </c>
      <c r="J44" s="74"/>
      <c r="K44" s="75">
        <v>82820</v>
      </c>
      <c r="L44" s="76">
        <v>78900</v>
      </c>
      <c r="M44" s="76">
        <f>81166+240</f>
        <v>81406</v>
      </c>
      <c r="N44" s="76">
        <f>82473+240</f>
        <v>82713</v>
      </c>
      <c r="O44" s="76">
        <f>83680+240</f>
        <v>83920</v>
      </c>
      <c r="P44" s="77">
        <v>2.17</v>
      </c>
      <c r="Q44" s="78"/>
      <c r="R44" s="233">
        <v>250</v>
      </c>
      <c r="S44" s="233">
        <v>125</v>
      </c>
      <c r="T44" s="74"/>
      <c r="U44" s="79">
        <v>200</v>
      </c>
      <c r="V44" s="79">
        <v>50</v>
      </c>
      <c r="W44" s="80"/>
      <c r="X44" s="80"/>
    </row>
    <row r="45" spans="1:24" x14ac:dyDescent="0.25">
      <c r="A45" s="72">
        <v>71900</v>
      </c>
      <c r="B45" s="73" t="s">
        <v>202</v>
      </c>
      <c r="C45" s="17"/>
      <c r="D45" s="16" t="str">
        <f t="shared" si="0"/>
        <v/>
      </c>
      <c r="E45" s="16" t="str">
        <f t="shared" si="1"/>
        <v/>
      </c>
      <c r="F45" s="16" t="str">
        <f t="shared" si="27"/>
        <v/>
      </c>
      <c r="G45" s="16" t="str">
        <f t="shared" ref="G45:G49" si="29">IF(C45&gt;=1, (K45-C45)*(1+$P45*$G$4/100)/$G$4+Q45+S45,"")</f>
        <v/>
      </c>
      <c r="H45" s="16" t="str">
        <f t="shared" si="12"/>
        <v/>
      </c>
      <c r="I45" s="16" t="str">
        <f t="shared" si="2"/>
        <v/>
      </c>
      <c r="J45" s="74"/>
      <c r="K45" s="75">
        <f>76057</f>
        <v>76057</v>
      </c>
      <c r="L45" s="76">
        <f>74696</f>
        <v>74696</v>
      </c>
      <c r="M45" s="76">
        <f>75149+1200</f>
        <v>76349</v>
      </c>
      <c r="N45" s="76">
        <f>75603+1200</f>
        <v>76803</v>
      </c>
      <c r="O45" s="76">
        <f>76057+1100</f>
        <v>77157</v>
      </c>
      <c r="P45" s="77">
        <v>2.17</v>
      </c>
      <c r="Q45" s="78"/>
      <c r="R45" s="233">
        <v>250</v>
      </c>
      <c r="S45" s="233">
        <v>125</v>
      </c>
      <c r="T45" s="74"/>
      <c r="U45" s="79">
        <v>350</v>
      </c>
      <c r="V45" s="79">
        <v>100</v>
      </c>
      <c r="W45" s="151" t="s">
        <v>524</v>
      </c>
      <c r="X45" s="80" t="s">
        <v>526</v>
      </c>
    </row>
    <row r="46" spans="1:24" x14ac:dyDescent="0.25">
      <c r="A46" s="72">
        <v>72900</v>
      </c>
      <c r="B46" s="73" t="s">
        <v>592</v>
      </c>
      <c r="C46" s="17"/>
      <c r="D46" s="16" t="str">
        <f t="shared" ref="D46" si="30">IF(C46&gt;=1,(K46-C46)*(1+P46*$D$4/100)/$D$4+Q46+R46,"")</f>
        <v/>
      </c>
      <c r="E46" s="16" t="str">
        <f t="shared" ref="E46" si="31">IF(C46&gt;=1,(K46-C46)*(1+P46*$E$4/100)/$E$4+Q46+S46,"")</f>
        <v/>
      </c>
      <c r="F46" s="16" t="str">
        <f t="shared" ref="F46" si="32">IF(C46&gt;=1,(K46-C46)*(1+$P46*$F$4/100)/$F$4+Q46+S46, "")</f>
        <v/>
      </c>
      <c r="G46" s="16" t="str">
        <f t="shared" ref="G46" si="33">IF(C46&gt;=1, (K46-C46)*(1+$P46*$G$4/100)/$G$4+Q46+S46,"")</f>
        <v/>
      </c>
      <c r="H46" s="16" t="str">
        <f t="shared" ref="H46" si="34">IF(C46&gt;=1, (K46-C46)*(1+$P46*$H$4/100)/$H$4+Q46+S46, "")</f>
        <v/>
      </c>
      <c r="I46" s="16" t="str">
        <f t="shared" ref="I46" si="35">IF(C46&gt;=1, (K46-C46)*(1+$P46*$I$4/100)/$I$4+Q46+S46, "")</f>
        <v/>
      </c>
      <c r="J46" s="74"/>
      <c r="K46" s="75">
        <f>77057</f>
        <v>77057</v>
      </c>
      <c r="L46" s="76">
        <f>75696</f>
        <v>75696</v>
      </c>
      <c r="M46" s="76">
        <f>76149+1200</f>
        <v>77349</v>
      </c>
      <c r="N46" s="76">
        <f>76603+1200</f>
        <v>77803</v>
      </c>
      <c r="O46" s="76">
        <f>77057+1100</f>
        <v>78157</v>
      </c>
      <c r="P46" s="77">
        <v>2.17</v>
      </c>
      <c r="Q46" s="78"/>
      <c r="R46" s="233">
        <v>250</v>
      </c>
      <c r="S46" s="233">
        <v>125</v>
      </c>
      <c r="T46" s="74"/>
      <c r="U46" s="79">
        <v>350</v>
      </c>
      <c r="V46" s="79">
        <v>100</v>
      </c>
      <c r="W46" s="151" t="s">
        <v>582</v>
      </c>
      <c r="X46" s="80" t="s">
        <v>593</v>
      </c>
    </row>
    <row r="47" spans="1:24" x14ac:dyDescent="0.25">
      <c r="A47" s="72">
        <v>73900</v>
      </c>
      <c r="B47" s="73" t="s">
        <v>280</v>
      </c>
      <c r="C47" s="17"/>
      <c r="D47" s="16" t="str">
        <f t="shared" si="0"/>
        <v/>
      </c>
      <c r="E47" s="16" t="str">
        <f t="shared" si="1"/>
        <v/>
      </c>
      <c r="F47" s="16" t="str">
        <f t="shared" si="27"/>
        <v/>
      </c>
      <c r="G47" s="16" t="str">
        <f t="shared" si="29"/>
        <v/>
      </c>
      <c r="H47" s="16" t="str">
        <f t="shared" si="12"/>
        <v/>
      </c>
      <c r="I47" s="16" t="str">
        <f t="shared" si="2"/>
        <v/>
      </c>
      <c r="J47" s="74"/>
      <c r="K47" s="75">
        <f>76597</f>
        <v>76597</v>
      </c>
      <c r="L47" s="76">
        <f>75213</f>
        <v>75213</v>
      </c>
      <c r="M47" s="76">
        <f>75674+1200</f>
        <v>76874</v>
      </c>
      <c r="N47" s="76">
        <f>76135+1200</f>
        <v>77335</v>
      </c>
      <c r="O47" s="76">
        <f>76597+1100</f>
        <v>77697</v>
      </c>
      <c r="P47" s="77">
        <v>2.17</v>
      </c>
      <c r="Q47" s="78"/>
      <c r="R47" s="233">
        <v>250</v>
      </c>
      <c r="S47" s="233">
        <v>125</v>
      </c>
      <c r="T47" s="74"/>
      <c r="U47" s="79">
        <v>350</v>
      </c>
      <c r="V47" s="79">
        <v>100</v>
      </c>
      <c r="W47" s="151" t="s">
        <v>527</v>
      </c>
      <c r="X47" s="80" t="s">
        <v>528</v>
      </c>
    </row>
    <row r="48" spans="1:24" x14ac:dyDescent="0.25">
      <c r="A48" s="72">
        <v>63400</v>
      </c>
      <c r="B48" s="83" t="s">
        <v>581</v>
      </c>
      <c r="C48" s="17"/>
      <c r="D48" s="16" t="str">
        <f t="shared" si="0"/>
        <v/>
      </c>
      <c r="E48" s="16" t="str">
        <f t="shared" si="1"/>
        <v/>
      </c>
      <c r="F48" s="16" t="str">
        <f t="shared" si="27"/>
        <v/>
      </c>
      <c r="G48" s="16" t="str">
        <f t="shared" si="29"/>
        <v/>
      </c>
      <c r="H48" s="16" t="str">
        <f t="shared" si="12"/>
        <v/>
      </c>
      <c r="I48" s="16" t="str">
        <f t="shared" si="2"/>
        <v/>
      </c>
      <c r="J48" s="74"/>
      <c r="K48" s="75">
        <f>68087</f>
        <v>68087</v>
      </c>
      <c r="L48" s="76">
        <f>66544</f>
        <v>66544</v>
      </c>
      <c r="M48" s="76">
        <f>67058+1200</f>
        <v>68258</v>
      </c>
      <c r="N48" s="76">
        <f>67573+1200</f>
        <v>68773</v>
      </c>
      <c r="O48" s="76">
        <f>68087+1100</f>
        <v>69187</v>
      </c>
      <c r="P48" s="77">
        <v>2.5</v>
      </c>
      <c r="Q48" s="78">
        <v>200</v>
      </c>
      <c r="R48" s="233">
        <v>250</v>
      </c>
      <c r="S48" s="233">
        <v>125</v>
      </c>
      <c r="T48" s="74"/>
      <c r="U48" s="79">
        <v>700</v>
      </c>
      <c r="V48" s="79">
        <v>100</v>
      </c>
      <c r="W48" s="151" t="s">
        <v>582</v>
      </c>
      <c r="X48" s="80" t="s">
        <v>583</v>
      </c>
    </row>
    <row r="49" spans="1:24" x14ac:dyDescent="0.25">
      <c r="A49" s="72">
        <v>61900</v>
      </c>
      <c r="B49" s="83" t="s">
        <v>199</v>
      </c>
      <c r="C49" s="17"/>
      <c r="D49" s="16" t="str">
        <f t="shared" si="0"/>
        <v/>
      </c>
      <c r="E49" s="16" t="str">
        <f t="shared" si="1"/>
        <v/>
      </c>
      <c r="F49" s="16" t="str">
        <f t="shared" si="27"/>
        <v/>
      </c>
      <c r="G49" s="16" t="str">
        <f t="shared" si="29"/>
        <v/>
      </c>
      <c r="H49" s="16" t="str">
        <f t="shared" si="12"/>
        <v/>
      </c>
      <c r="I49" s="16" t="str">
        <f t="shared" si="2"/>
        <v/>
      </c>
      <c r="J49" s="74"/>
      <c r="K49" s="75">
        <v>65651</v>
      </c>
      <c r="L49" s="76">
        <v>63803</v>
      </c>
      <c r="M49" s="76">
        <v>65619</v>
      </c>
      <c r="N49" s="76">
        <v>66235</v>
      </c>
      <c r="O49" s="76">
        <v>66751</v>
      </c>
      <c r="P49" s="77">
        <v>2.5</v>
      </c>
      <c r="Q49" s="78">
        <v>200</v>
      </c>
      <c r="R49" s="233">
        <v>250</v>
      </c>
      <c r="S49" s="233">
        <v>125</v>
      </c>
      <c r="T49" s="74"/>
      <c r="U49" s="79">
        <v>500</v>
      </c>
      <c r="V49" s="79">
        <v>100</v>
      </c>
      <c r="W49" s="151" t="s">
        <v>237</v>
      </c>
      <c r="X49" s="80" t="s">
        <v>238</v>
      </c>
    </row>
    <row r="50" spans="1:24" x14ac:dyDescent="0.25">
      <c r="A50" s="72">
        <v>68400</v>
      </c>
      <c r="B50" s="83" t="s">
        <v>584</v>
      </c>
      <c r="C50" s="17"/>
      <c r="D50" s="16" t="str">
        <f t="shared" si="0"/>
        <v/>
      </c>
      <c r="E50" s="16" t="str">
        <f t="shared" si="1"/>
        <v/>
      </c>
      <c r="F50" s="16" t="str">
        <f t="shared" si="27"/>
        <v/>
      </c>
      <c r="G50" s="16" t="str">
        <f>IF(C50&gt;=1, (K50-C50)*(1+$P50*$G$4/100)/$G$4+Q50+S50,"")</f>
        <v/>
      </c>
      <c r="H50" s="16" t="str">
        <f t="shared" si="12"/>
        <v/>
      </c>
      <c r="I50" s="16" t="str">
        <f t="shared" si="2"/>
        <v/>
      </c>
      <c r="J50" s="74"/>
      <c r="K50" s="75">
        <f>72743</f>
        <v>72743</v>
      </c>
      <c r="L50" s="76">
        <f>70895</f>
        <v>70895</v>
      </c>
      <c r="M50" s="76">
        <f>71511+1200</f>
        <v>72711</v>
      </c>
      <c r="N50" s="76">
        <f>72127+1200</f>
        <v>73327</v>
      </c>
      <c r="O50" s="76">
        <f>72743+1100</f>
        <v>73843</v>
      </c>
      <c r="P50" s="77">
        <v>2.5</v>
      </c>
      <c r="Q50" s="78">
        <v>200</v>
      </c>
      <c r="R50" s="233">
        <v>250</v>
      </c>
      <c r="S50" s="233">
        <v>125</v>
      </c>
      <c r="T50" s="74"/>
      <c r="U50" s="79">
        <v>500</v>
      </c>
      <c r="V50" s="79">
        <v>100</v>
      </c>
      <c r="W50" s="151" t="s">
        <v>582</v>
      </c>
      <c r="X50" s="80" t="s">
        <v>585</v>
      </c>
    </row>
    <row r="51" spans="1:24" x14ac:dyDescent="0.25">
      <c r="A51" s="72">
        <v>67400</v>
      </c>
      <c r="B51" s="83" t="s">
        <v>534</v>
      </c>
      <c r="C51" s="17"/>
      <c r="D51" s="16" t="str">
        <f t="shared" ref="D51:D52" si="36">IF(C51&gt;=1,(K51-C51)*(1+P51*$D$4/100)/$D$4+Q51+R51,"")</f>
        <v/>
      </c>
      <c r="E51" s="16" t="str">
        <f t="shared" ref="E51:E52" si="37">IF(C51&gt;=1,(K51-C51)*(1+P51*$E$4/100)/$E$4+Q51+S51,"")</f>
        <v/>
      </c>
      <c r="F51" s="16" t="str">
        <f t="shared" ref="F51:F52" si="38">IF(C51&gt;=1,(K51-C51)*(1+$P51*$F$4/100)/$F$4+Q51+S51, "")</f>
        <v/>
      </c>
      <c r="G51" s="16" t="str">
        <f t="shared" ref="G51" si="39">IF(C51&gt;=1, (K51-C51)*(1+$P51*$G$4/100)/$G$4+Q51+S51,"")</f>
        <v/>
      </c>
      <c r="H51" s="16" t="str">
        <f t="shared" ref="H51:H52" si="40">IF(C51&gt;=1, (K51-C51)*(1+$P51*$H$4/100)/$H$4+Q51+S51, "")</f>
        <v/>
      </c>
      <c r="I51" s="16" t="str">
        <f t="shared" ref="I51:I52" si="41">IF(C51&gt;=1, (K51-C51)*(1+$P51*$I$4/100)/$I$4+Q51+S51, "")</f>
        <v/>
      </c>
      <c r="J51" s="74"/>
      <c r="K51" s="75">
        <f>72087</f>
        <v>72087</v>
      </c>
      <c r="L51" s="76">
        <f>70544</f>
        <v>70544</v>
      </c>
      <c r="M51" s="76">
        <f>71058+1200</f>
        <v>72258</v>
      </c>
      <c r="N51" s="76">
        <f>71572+1200</f>
        <v>72772</v>
      </c>
      <c r="O51" s="76">
        <f>72087+1100</f>
        <v>73187</v>
      </c>
      <c r="P51" s="77">
        <v>2.5</v>
      </c>
      <c r="Q51" s="78">
        <v>200</v>
      </c>
      <c r="R51" s="233">
        <v>250</v>
      </c>
      <c r="S51" s="233">
        <v>125</v>
      </c>
      <c r="T51" s="74"/>
      <c r="U51" s="79">
        <v>500</v>
      </c>
      <c r="V51" s="79">
        <v>100</v>
      </c>
      <c r="W51" s="151" t="s">
        <v>582</v>
      </c>
      <c r="X51" s="80" t="s">
        <v>586</v>
      </c>
    </row>
    <row r="52" spans="1:24" x14ac:dyDescent="0.25">
      <c r="A52" s="72">
        <v>72400</v>
      </c>
      <c r="B52" s="83" t="s">
        <v>535</v>
      </c>
      <c r="C52" s="17"/>
      <c r="D52" s="16" t="str">
        <f t="shared" si="36"/>
        <v/>
      </c>
      <c r="E52" s="16" t="str">
        <f t="shared" si="37"/>
        <v/>
      </c>
      <c r="F52" s="16" t="str">
        <f t="shared" si="38"/>
        <v/>
      </c>
      <c r="G52" s="16" t="str">
        <f>IF(C52&gt;=1, (K52-C52)*(1+$P52*$G$4/100)/$G$4+Q52+S52,"")</f>
        <v/>
      </c>
      <c r="H52" s="16" t="str">
        <f t="shared" si="40"/>
        <v/>
      </c>
      <c r="I52" s="16" t="str">
        <f t="shared" si="41"/>
        <v/>
      </c>
      <c r="J52" s="74"/>
      <c r="K52" s="75">
        <f>76743</f>
        <v>76743</v>
      </c>
      <c r="L52" s="76">
        <f>74895</f>
        <v>74895</v>
      </c>
      <c r="M52" s="76">
        <f>75511+1200</f>
        <v>76711</v>
      </c>
      <c r="N52" s="76">
        <f>76127+1200</f>
        <v>77327</v>
      </c>
      <c r="O52" s="76">
        <f>76743+1100</f>
        <v>77843</v>
      </c>
      <c r="P52" s="77">
        <v>2.5</v>
      </c>
      <c r="Q52" s="78">
        <v>200</v>
      </c>
      <c r="R52" s="233">
        <v>250</v>
      </c>
      <c r="S52" s="233">
        <v>125</v>
      </c>
      <c r="T52" s="74"/>
      <c r="U52" s="79">
        <v>500</v>
      </c>
      <c r="V52" s="79">
        <v>100</v>
      </c>
      <c r="W52" s="151" t="s">
        <v>582</v>
      </c>
      <c r="X52" s="80" t="s">
        <v>587</v>
      </c>
    </row>
    <row r="53" spans="1:24" x14ac:dyDescent="0.25">
      <c r="A53" s="72">
        <v>65900</v>
      </c>
      <c r="B53" s="73" t="s">
        <v>77</v>
      </c>
      <c r="C53" s="17"/>
      <c r="D53" s="16" t="str">
        <f t="shared" si="0"/>
        <v/>
      </c>
      <c r="E53" s="16" t="str">
        <f t="shared" si="1"/>
        <v/>
      </c>
      <c r="F53" s="16" t="str">
        <f t="shared" si="27"/>
        <v/>
      </c>
      <c r="G53" s="16" t="str">
        <f>IF(C53&gt;=1, (K53-C53)*(1+$P53*$G$4/100)/$G$4+Q53+S53,"")</f>
        <v/>
      </c>
      <c r="H53" s="16" t="str">
        <f>IF(C53&gt;=1, (K53-C53)*(1+$P53*$H$4/100)/$H$4+Q53+S53, "")</f>
        <v/>
      </c>
      <c r="I53" s="16" t="str">
        <f>IF(C53&gt;=1, (K53-C53)*(1+$P53*$I$4/100)/$I$4+Q53+S53, "")</f>
        <v/>
      </c>
      <c r="J53" s="74"/>
      <c r="K53" s="75">
        <v>71195</v>
      </c>
      <c r="L53" s="76">
        <v>68350</v>
      </c>
      <c r="M53" s="76">
        <f>70199+60+240</f>
        <v>70499</v>
      </c>
      <c r="N53" s="76">
        <f>71148+60+240</f>
        <v>71448</v>
      </c>
      <c r="O53" s="76">
        <f>71995+60+240</f>
        <v>72295</v>
      </c>
      <c r="P53" s="77">
        <v>2.17</v>
      </c>
      <c r="Q53" s="78"/>
      <c r="R53" s="233">
        <v>250</v>
      </c>
      <c r="S53" s="233">
        <v>125</v>
      </c>
      <c r="T53" s="74"/>
      <c r="U53" s="79">
        <v>350</v>
      </c>
      <c r="V53" s="79">
        <v>100</v>
      </c>
      <c r="W53" s="80"/>
      <c r="X53" s="80"/>
    </row>
    <row r="54" spans="1:24" x14ac:dyDescent="0.25">
      <c r="A54" s="72">
        <v>229000</v>
      </c>
      <c r="B54" s="83" t="s">
        <v>465</v>
      </c>
      <c r="C54" s="17"/>
      <c r="D54" s="16" t="str">
        <f>IF(C54&gt;=1,(K54-C54)*(1+P54*$D$4/100)/$D$4+Q54+R54,"")</f>
        <v/>
      </c>
      <c r="E54" s="16" t="str">
        <f t="shared" si="1"/>
        <v/>
      </c>
      <c r="F54" s="16" t="str">
        <f t="shared" si="27"/>
        <v/>
      </c>
      <c r="G54" s="16" t="str">
        <f>IF(C54&gt;=1, (K54-C54)*(1+$P54*$G$4/100)/$G$4+Q54+S54,"")</f>
        <v/>
      </c>
      <c r="H54" s="231"/>
      <c r="I54" s="231"/>
      <c r="J54" s="74"/>
      <c r="K54" s="75">
        <f>233189</f>
        <v>233189</v>
      </c>
      <c r="L54" s="76">
        <f>229592</f>
        <v>229592</v>
      </c>
      <c r="M54" s="76">
        <f>230791+1200</f>
        <v>231991</v>
      </c>
      <c r="N54" s="76">
        <f>231990+1200</f>
        <v>233190</v>
      </c>
      <c r="O54" s="76">
        <f>233189+1100</f>
        <v>234289</v>
      </c>
      <c r="P54" s="77">
        <v>2.17</v>
      </c>
      <c r="Q54" s="78"/>
      <c r="R54" s="233">
        <v>250</v>
      </c>
      <c r="S54" s="233">
        <v>125</v>
      </c>
      <c r="T54" s="74"/>
      <c r="U54" s="79">
        <v>500</v>
      </c>
      <c r="V54" s="79">
        <v>100</v>
      </c>
      <c r="W54" s="151" t="s">
        <v>463</v>
      </c>
      <c r="X54" s="80" t="s">
        <v>464</v>
      </c>
    </row>
    <row r="55" spans="1:24" x14ac:dyDescent="0.25">
      <c r="A55" s="84"/>
      <c r="B55" s="74"/>
      <c r="C55" s="45"/>
      <c r="D55" s="46"/>
      <c r="E55" s="46"/>
      <c r="F55" s="46"/>
      <c r="G55" s="46"/>
      <c r="H55" s="46"/>
      <c r="I55" s="46"/>
      <c r="J55" s="74"/>
      <c r="K55" s="85"/>
      <c r="L55" s="86"/>
      <c r="M55" s="86"/>
      <c r="N55" s="86"/>
      <c r="O55" s="86"/>
      <c r="P55" s="77"/>
      <c r="Q55" s="78"/>
      <c r="R55" s="78"/>
      <c r="S55" s="78"/>
      <c r="T55" s="74"/>
      <c r="U55" s="79"/>
      <c r="V55" s="79"/>
      <c r="W55" s="80"/>
      <c r="X55" s="80"/>
    </row>
    <row r="56" spans="1:24" s="52" customFormat="1" x14ac:dyDescent="0.25">
      <c r="A56" s="63" t="s">
        <v>0</v>
      </c>
      <c r="B56" s="62" t="s">
        <v>47</v>
      </c>
      <c r="C56" s="87" t="s">
        <v>80</v>
      </c>
      <c r="D56" s="63">
        <v>6</v>
      </c>
      <c r="E56" s="51">
        <v>12</v>
      </c>
      <c r="F56" s="51">
        <v>18</v>
      </c>
      <c r="G56" s="51">
        <v>24</v>
      </c>
      <c r="H56" s="51">
        <v>30</v>
      </c>
      <c r="I56" s="51">
        <v>36</v>
      </c>
      <c r="K56" s="51" t="s">
        <v>2</v>
      </c>
      <c r="L56" s="51" t="s">
        <v>1</v>
      </c>
      <c r="M56" s="51" t="s">
        <v>3</v>
      </c>
      <c r="N56" s="51" t="s">
        <v>4</v>
      </c>
      <c r="O56" s="51" t="s">
        <v>5</v>
      </c>
      <c r="P56" s="253" t="s">
        <v>6</v>
      </c>
      <c r="Q56" s="254"/>
      <c r="R56" s="236">
        <v>6</v>
      </c>
      <c r="S56" s="236" t="s">
        <v>523</v>
      </c>
      <c r="T56" s="53"/>
      <c r="U56" s="255" t="s">
        <v>7</v>
      </c>
      <c r="V56" s="256"/>
      <c r="W56" s="58" t="s">
        <v>152</v>
      </c>
      <c r="X56" s="58"/>
    </row>
    <row r="57" spans="1:24" ht="15" customHeight="1" x14ac:dyDescent="0.25">
      <c r="A57" s="280" t="s">
        <v>11</v>
      </c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71"/>
      <c r="X57" s="71"/>
    </row>
    <row r="58" spans="1:24" x14ac:dyDescent="0.25">
      <c r="A58" s="88">
        <v>91000</v>
      </c>
      <c r="B58" s="230" t="s">
        <v>410</v>
      </c>
      <c r="C58" s="18">
        <v>25000</v>
      </c>
      <c r="D58" s="19">
        <f>IF(C58&gt;=1,(K58-C58)*(1+P58*$D$4/100)/$D$4+Q58+R58,"")</f>
        <v>13558.104999999998</v>
      </c>
      <c r="E58" s="19">
        <f>IF(C58&gt;=1,(K58-C58)*(1+P58*$E$4/100)/$E$4+Q58+S58,"")</f>
        <v>7545.6049999999996</v>
      </c>
      <c r="F58" s="19">
        <f>IF(C58&gt;=1,(K58-C58)*(1+$P58*$F$4/100)/$F$4+Q58+S58, "")</f>
        <v>5583.1049999999996</v>
      </c>
      <c r="G58" s="19">
        <f>IF(C58&gt;=1, (K58-C58)*(1+$P58*$G$4/100)/$G$4+Q58+S58,"")</f>
        <v>4601.8549999999996</v>
      </c>
      <c r="H58" s="19">
        <f>IF(C58&gt;=1, (K58-C58)*(1+$P58*$H$4/100)/$H$4+Q58+S58, "")</f>
        <v>4013.1049999999991</v>
      </c>
      <c r="I58" s="19">
        <f>IF(C58&gt;=1, (K58-C58)*(1+$P58*$I$4/100)/$I$4+Q58+S58, "")</f>
        <v>3620.6050000000005</v>
      </c>
      <c r="J58" s="90"/>
      <c r="K58" s="91">
        <f>95650</f>
        <v>95650</v>
      </c>
      <c r="L58" s="91">
        <f>93175</f>
        <v>93175</v>
      </c>
      <c r="M58" s="91">
        <f>94000+1200</f>
        <v>95200</v>
      </c>
      <c r="N58" s="91">
        <f>94825+1200</f>
        <v>96025</v>
      </c>
      <c r="O58" s="91">
        <f>95650+1100</f>
        <v>96750</v>
      </c>
      <c r="P58" s="92">
        <v>2.17</v>
      </c>
      <c r="Q58" s="93"/>
      <c r="R58" s="237">
        <v>250</v>
      </c>
      <c r="S58" s="237">
        <v>125</v>
      </c>
      <c r="T58" s="90"/>
      <c r="U58" s="52">
        <v>350</v>
      </c>
      <c r="V58" s="52">
        <v>100</v>
      </c>
      <c r="W58" s="152" t="s">
        <v>481</v>
      </c>
      <c r="X58" s="94" t="s">
        <v>482</v>
      </c>
    </row>
    <row r="59" spans="1:24" x14ac:dyDescent="0.25">
      <c r="A59" s="88">
        <v>95000</v>
      </c>
      <c r="B59" s="227" t="s">
        <v>411</v>
      </c>
      <c r="C59" s="18"/>
      <c r="D59" s="19" t="str">
        <f t="shared" ref="D59:D78" si="42">IF(C59&gt;=1,(K59-C59)*(1+P59*$D$4/100)/$D$4+Q59+R59,"")</f>
        <v/>
      </c>
      <c r="E59" s="19" t="str">
        <f t="shared" ref="E59:E78" si="43">IF(C59&gt;=1,(K59-C59)*(1+P59*$E$4/100)/$E$4+Q59+S59,"")</f>
        <v/>
      </c>
      <c r="F59" s="19" t="str">
        <f t="shared" ref="F59:F78" si="44">IF(C59&gt;=1,(K59-C59)*(1+$P59*$F$4/100)/$F$4+Q59+S59, "")</f>
        <v/>
      </c>
      <c r="G59" s="19" t="str">
        <f t="shared" ref="G59:G94" si="45">IF(C59&gt;=1, (K59-C59)*(1+$P59*$G$4/100)/$G$4+Q59+S59,"")</f>
        <v/>
      </c>
      <c r="H59" s="19" t="str">
        <f t="shared" ref="H59:H94" si="46">IF(C59&gt;=1, (K59-C59)*(1+$P59*$H$4/100)/$H$4+Q59+S59, "")</f>
        <v/>
      </c>
      <c r="I59" s="19" t="str">
        <f t="shared" ref="I59:I94" si="47">IF(C59&gt;=1, (K59-C59)*(1+$P59*$I$4/100)/$I$4+Q59+S59, "")</f>
        <v/>
      </c>
      <c r="J59" s="90"/>
      <c r="K59" s="91">
        <f>99598</f>
        <v>99598</v>
      </c>
      <c r="L59" s="91">
        <f>97873</f>
        <v>97873</v>
      </c>
      <c r="M59" s="91">
        <f>98448+1200</f>
        <v>99648</v>
      </c>
      <c r="N59" s="91">
        <f>99023+1200</f>
        <v>100223</v>
      </c>
      <c r="O59" s="91">
        <f>99598+1100</f>
        <v>100698</v>
      </c>
      <c r="P59" s="92">
        <v>2.17</v>
      </c>
      <c r="Q59" s="93"/>
      <c r="R59" s="237">
        <v>250</v>
      </c>
      <c r="S59" s="237">
        <v>125</v>
      </c>
      <c r="T59" s="90"/>
      <c r="U59" s="52">
        <v>350</v>
      </c>
      <c r="V59" s="52">
        <v>100</v>
      </c>
      <c r="W59" s="152" t="s">
        <v>481</v>
      </c>
      <c r="X59" s="94" t="s">
        <v>483</v>
      </c>
    </row>
    <row r="60" spans="1:24" x14ac:dyDescent="0.25">
      <c r="A60" s="88">
        <v>91500</v>
      </c>
      <c r="B60" s="230" t="s">
        <v>638</v>
      </c>
      <c r="C60" s="18">
        <v>20000</v>
      </c>
      <c r="D60" s="19">
        <f>IF(C60&gt;=1,(K60-C60)*(1+P60*$D$4/100)/$D$4+Q60+R60,"")</f>
        <v>14594.121666666666</v>
      </c>
      <c r="E60" s="19">
        <f>IF(C60&gt;=1,(K60-C60)*(1+P60*$E$4/100)/$E$4+Q60+S60,"")</f>
        <v>8123.288333333333</v>
      </c>
      <c r="F60" s="19">
        <f>IF(C60&gt;=1,(K60-C60)*(1+$P60*$F$4/100)/$F$4+Q60+S60, "")</f>
        <v>6008.0105555555556</v>
      </c>
      <c r="G60" s="19">
        <f>IF(C60&gt;=1, (K60-C60)*(1+$P60*$G$4/100)/$G$4+Q60+S60,"")</f>
        <v>4950.3716666666669</v>
      </c>
      <c r="H60" s="19">
        <f>IF(C60&gt;=1, (K60-C60)*(1+$P60*$H$4/100)/$H$4+Q60+S60, "")</f>
        <v>4315.788333333333</v>
      </c>
      <c r="I60" s="19">
        <f>IF(C60&gt;=1, (K60-C60)*(1+$P60*$I$4/100)/$I$4+Q60+S60, "")</f>
        <v>3892.7327777777778</v>
      </c>
      <c r="J60" s="90"/>
      <c r="K60" s="91">
        <f>96150</f>
        <v>96150</v>
      </c>
      <c r="L60" s="91">
        <f>93675</f>
        <v>93675</v>
      </c>
      <c r="M60" s="91">
        <f>94500+1200</f>
        <v>95700</v>
      </c>
      <c r="N60" s="91">
        <f>95325+1200</f>
        <v>96525</v>
      </c>
      <c r="O60" s="91">
        <f>96150+1100</f>
        <v>97250</v>
      </c>
      <c r="P60" s="92">
        <v>2.17</v>
      </c>
      <c r="Q60" s="93"/>
      <c r="R60" s="237">
        <v>250</v>
      </c>
      <c r="S60" s="237">
        <v>125</v>
      </c>
      <c r="T60" s="90"/>
      <c r="U60" s="52">
        <v>350</v>
      </c>
      <c r="V60" s="52">
        <v>100</v>
      </c>
      <c r="W60" s="152" t="s">
        <v>632</v>
      </c>
      <c r="X60" s="94" t="s">
        <v>639</v>
      </c>
    </row>
    <row r="61" spans="1:24" x14ac:dyDescent="0.25">
      <c r="A61" s="88">
        <v>95500</v>
      </c>
      <c r="B61" s="227" t="s">
        <v>636</v>
      </c>
      <c r="C61" s="18">
        <v>20000</v>
      </c>
      <c r="D61" s="19">
        <f t="shared" ref="D61" si="48">IF(C61&gt;=1,(K61-C61)*(1+P61*$D$4/100)/$D$4+Q61+R61,"")</f>
        <v>15337.793266666666</v>
      </c>
      <c r="E61" s="19">
        <f t="shared" ref="E61" si="49">IF(C61&gt;=1,(K61-C61)*(1+P61*$E$4/100)/$E$4+Q61+S61,"")</f>
        <v>8537.9599333333335</v>
      </c>
      <c r="F61" s="19">
        <f t="shared" ref="F61" si="50">IF(C61&gt;=1,(K61-C61)*(1+$P61*$F$4/100)/$F$4+Q61+S61, "")</f>
        <v>6313.0154888888892</v>
      </c>
      <c r="G61" s="19">
        <f t="shared" ref="G61" si="51">IF(C61&gt;=1, (K61-C61)*(1+$P61*$G$4/100)/$G$4+Q61+S61,"")</f>
        <v>5200.5432666666666</v>
      </c>
      <c r="H61" s="19">
        <f t="shared" ref="H61" si="52">IF(C61&gt;=1, (K61-C61)*(1+$P61*$H$4/100)/$H$4+Q61+S61, "")</f>
        <v>4533.059933333333</v>
      </c>
      <c r="I61" s="19">
        <f t="shared" ref="I61" si="53">IF(C61&gt;=1, (K61-C61)*(1+$P61*$I$4/100)/$I$4+Q61+S61, "")</f>
        <v>4088.0710444444444</v>
      </c>
      <c r="J61" s="90"/>
      <c r="K61" s="91">
        <f>100098</f>
        <v>100098</v>
      </c>
      <c r="L61" s="91">
        <f>98373</f>
        <v>98373</v>
      </c>
      <c r="M61" s="91">
        <f>98948+1200</f>
        <v>100148</v>
      </c>
      <c r="N61" s="91">
        <f>99523+1200</f>
        <v>100723</v>
      </c>
      <c r="O61" s="91">
        <f>100098+1100</f>
        <v>101198</v>
      </c>
      <c r="P61" s="92">
        <v>2.17</v>
      </c>
      <c r="Q61" s="93"/>
      <c r="R61" s="237">
        <v>250</v>
      </c>
      <c r="S61" s="237">
        <v>125</v>
      </c>
      <c r="T61" s="90"/>
      <c r="U61" s="52">
        <v>350</v>
      </c>
      <c r="V61" s="52">
        <v>100</v>
      </c>
      <c r="W61" s="152" t="s">
        <v>632</v>
      </c>
      <c r="X61" s="94" t="s">
        <v>637</v>
      </c>
    </row>
    <row r="62" spans="1:24" x14ac:dyDescent="0.25">
      <c r="A62" s="88">
        <v>96500</v>
      </c>
      <c r="B62" s="227" t="s">
        <v>412</v>
      </c>
      <c r="C62" s="18"/>
      <c r="D62" s="19" t="str">
        <f t="shared" si="42"/>
        <v/>
      </c>
      <c r="E62" s="19" t="str">
        <f t="shared" si="43"/>
        <v/>
      </c>
      <c r="F62" s="19" t="str">
        <f t="shared" si="44"/>
        <v/>
      </c>
      <c r="G62" s="19" t="str">
        <f t="shared" si="45"/>
        <v/>
      </c>
      <c r="H62" s="19" t="str">
        <f t="shared" si="46"/>
        <v/>
      </c>
      <c r="I62" s="19" t="str">
        <f t="shared" si="47"/>
        <v/>
      </c>
      <c r="J62" s="90"/>
      <c r="K62" s="91">
        <f>101150</f>
        <v>101150</v>
      </c>
      <c r="L62" s="91">
        <f>99179</f>
        <v>99179</v>
      </c>
      <c r="M62" s="91">
        <f>99836+1200</f>
        <v>101036</v>
      </c>
      <c r="N62" s="91">
        <f>100493+1200</f>
        <v>101693</v>
      </c>
      <c r="O62" s="91">
        <f>101150+1100</f>
        <v>102250</v>
      </c>
      <c r="P62" s="92">
        <v>2.17</v>
      </c>
      <c r="Q62" s="93"/>
      <c r="R62" s="237">
        <v>250</v>
      </c>
      <c r="S62" s="237">
        <v>125</v>
      </c>
      <c r="T62" s="90"/>
      <c r="U62" s="52">
        <v>350</v>
      </c>
      <c r="V62" s="52">
        <v>100</v>
      </c>
      <c r="W62" s="152" t="s">
        <v>481</v>
      </c>
      <c r="X62" s="94" t="s">
        <v>484</v>
      </c>
    </row>
    <row r="63" spans="1:24" x14ac:dyDescent="0.25">
      <c r="A63" s="88">
        <v>101000</v>
      </c>
      <c r="B63" s="227" t="s">
        <v>678</v>
      </c>
      <c r="C63" s="18">
        <v>35000</v>
      </c>
      <c r="D63" s="19">
        <f t="shared" si="42"/>
        <v>13548.309933333332</v>
      </c>
      <c r="E63" s="19">
        <f t="shared" si="43"/>
        <v>7540.143266666666</v>
      </c>
      <c r="F63" s="19">
        <f t="shared" si="44"/>
        <v>5579.0877111111113</v>
      </c>
      <c r="G63" s="19">
        <f t="shared" si="45"/>
        <v>4598.559933333333</v>
      </c>
      <c r="H63" s="19">
        <f t="shared" si="46"/>
        <v>4010.2432666666659</v>
      </c>
      <c r="I63" s="19">
        <f t="shared" si="47"/>
        <v>3618.0321555555556</v>
      </c>
      <c r="J63" s="90"/>
      <c r="K63" s="91">
        <f>105598</f>
        <v>105598</v>
      </c>
      <c r="L63" s="91">
        <f>103873</f>
        <v>103873</v>
      </c>
      <c r="M63" s="91">
        <f>104448+1200</f>
        <v>105648</v>
      </c>
      <c r="N63" s="91">
        <f>105023+1200</f>
        <v>106223</v>
      </c>
      <c r="O63" s="91">
        <f>105598+1100</f>
        <v>106698</v>
      </c>
      <c r="P63" s="92">
        <v>2.17</v>
      </c>
      <c r="Q63" s="93"/>
      <c r="R63" s="237">
        <v>250</v>
      </c>
      <c r="S63" s="237">
        <v>125</v>
      </c>
      <c r="T63" s="90"/>
      <c r="U63" s="52">
        <v>350</v>
      </c>
      <c r="V63" s="52">
        <v>100</v>
      </c>
      <c r="W63" s="152" t="s">
        <v>684</v>
      </c>
      <c r="X63" s="94" t="s">
        <v>685</v>
      </c>
    </row>
    <row r="64" spans="1:24" x14ac:dyDescent="0.25">
      <c r="A64" s="88">
        <v>75000</v>
      </c>
      <c r="B64" s="227" t="s">
        <v>626</v>
      </c>
      <c r="C64" s="18"/>
      <c r="D64" s="19" t="str">
        <f t="shared" ref="D64" si="54">IF(C64&gt;=1,(K64-C64)*(1+P64*$D$4/100)/$D$4+Q64+R64,"")</f>
        <v/>
      </c>
      <c r="E64" s="19" t="str">
        <f t="shared" ref="E64" si="55">IF(C64&gt;=1,(K64-C64)*(1+P64*$E$4/100)/$E$4+Q64+S64,"")</f>
        <v/>
      </c>
      <c r="F64" s="19" t="str">
        <f t="shared" ref="F64" si="56">IF(C64&gt;=1,(K64-C64)*(1+$P64*$F$4/100)/$F$4+Q64+S64, "")</f>
        <v/>
      </c>
      <c r="G64" s="19" t="str">
        <f t="shared" ref="G64" si="57">IF(C64&gt;=1, (K64-C64)*(1+$P64*$G$4/100)/$G$4+Q64+S64,"")</f>
        <v/>
      </c>
      <c r="H64" s="19" t="str">
        <f t="shared" ref="H64" si="58">IF(C64&gt;=1, (K64-C64)*(1+$P64*$H$4/100)/$H$4+Q64+S64, "")</f>
        <v/>
      </c>
      <c r="I64" s="19" t="str">
        <f t="shared" ref="I64" si="59">IF(C64&gt;=1, (K64-C64)*(1+$P64*$I$4/100)/$I$4+Q64+S64, "")</f>
        <v/>
      </c>
      <c r="J64" s="90"/>
      <c r="K64" s="91">
        <f>79722</f>
        <v>79722</v>
      </c>
      <c r="L64" s="91">
        <f>78204</f>
        <v>78204</v>
      </c>
      <c r="M64" s="91">
        <f>78710+1200</f>
        <v>79910</v>
      </c>
      <c r="N64" s="91">
        <f>79216+1200</f>
        <v>80416</v>
      </c>
      <c r="O64" s="91">
        <f>79722+1100</f>
        <v>80822</v>
      </c>
      <c r="P64" s="92">
        <v>2.17</v>
      </c>
      <c r="Q64" s="93"/>
      <c r="R64" s="237">
        <v>250</v>
      </c>
      <c r="S64" s="237">
        <v>125</v>
      </c>
      <c r="T64" s="90"/>
      <c r="U64" s="52">
        <v>350</v>
      </c>
      <c r="V64" s="52">
        <v>100</v>
      </c>
      <c r="W64" s="152" t="s">
        <v>624</v>
      </c>
      <c r="X64" s="94" t="s">
        <v>627</v>
      </c>
    </row>
    <row r="65" spans="1:24" x14ac:dyDescent="0.25">
      <c r="A65" s="88">
        <v>47900</v>
      </c>
      <c r="B65" s="95" t="s">
        <v>254</v>
      </c>
      <c r="C65" s="18"/>
      <c r="D65" s="19" t="str">
        <f t="shared" si="42"/>
        <v/>
      </c>
      <c r="E65" s="19" t="str">
        <f t="shared" si="43"/>
        <v/>
      </c>
      <c r="F65" s="19" t="str">
        <f t="shared" si="44"/>
        <v/>
      </c>
      <c r="G65" s="19" t="str">
        <f t="shared" si="45"/>
        <v/>
      </c>
      <c r="H65" s="19" t="str">
        <f t="shared" si="46"/>
        <v/>
      </c>
      <c r="I65" s="19" t="str">
        <f t="shared" si="47"/>
        <v/>
      </c>
      <c r="J65" s="90"/>
      <c r="K65" s="91">
        <v>53007</v>
      </c>
      <c r="L65" s="91">
        <v>51521</v>
      </c>
      <c r="M65" s="91">
        <f>52016+1200</f>
        <v>53216</v>
      </c>
      <c r="N65" s="91">
        <f>52511+1200</f>
        <v>53711</v>
      </c>
      <c r="O65" s="91">
        <f>53007+1100</f>
        <v>54107</v>
      </c>
      <c r="P65" s="92">
        <v>2.17</v>
      </c>
      <c r="Q65" s="93"/>
      <c r="R65" s="237">
        <v>250</v>
      </c>
      <c r="S65" s="237">
        <v>125</v>
      </c>
      <c r="T65" s="90"/>
      <c r="U65" s="52">
        <v>200</v>
      </c>
      <c r="V65" s="52">
        <v>50</v>
      </c>
      <c r="W65" s="152" t="s">
        <v>256</v>
      </c>
      <c r="X65" s="208" t="s">
        <v>255</v>
      </c>
    </row>
    <row r="66" spans="1:24" x14ac:dyDescent="0.25">
      <c r="A66" s="88">
        <v>56700</v>
      </c>
      <c r="B66" s="95" t="s">
        <v>576</v>
      </c>
      <c r="C66" s="18"/>
      <c r="D66" s="19" t="str">
        <f t="shared" ref="D66" si="60">IF(C66&gt;=1,(K66-C66)*(1+P66*$D$4/100)/$D$4+Q66+R66,"")</f>
        <v/>
      </c>
      <c r="E66" s="19" t="str">
        <f t="shared" ref="E66" si="61">IF(C66&gt;=1,(K66-C66)*(1+P66*$E$4/100)/$E$4+Q66+S66,"")</f>
        <v/>
      </c>
      <c r="F66" s="19" t="str">
        <f t="shared" ref="F66" si="62">IF(C66&gt;=1,(K66-C66)*(1+$P66*$F$4/100)/$F$4+Q66+S66, "")</f>
        <v/>
      </c>
      <c r="G66" s="19" t="str">
        <f t="shared" ref="G66" si="63">IF(C66&gt;=1, (K66-C66)*(1+$P66*$G$4/100)/$G$4+Q66+S66,"")</f>
        <v/>
      </c>
      <c r="H66" s="19" t="str">
        <f t="shared" ref="H66" si="64">IF(C66&gt;=1, (K66-C66)*(1+$P66*$H$4/100)/$H$4+Q66+S66, "")</f>
        <v/>
      </c>
      <c r="I66" s="19" t="str">
        <f t="shared" ref="I66" si="65">IF(C66&gt;=1, (K66-C66)*(1+$P66*$I$4/100)/$I$4+Q66+S66, "")</f>
        <v/>
      </c>
      <c r="J66" s="90"/>
      <c r="K66" s="91">
        <v>61807</v>
      </c>
      <c r="L66" s="91">
        <v>60321</v>
      </c>
      <c r="M66" s="91">
        <f>60816+1200</f>
        <v>62016</v>
      </c>
      <c r="N66" s="91">
        <f>61311+1200</f>
        <v>62511</v>
      </c>
      <c r="O66" s="91">
        <f>61807+1100</f>
        <v>62907</v>
      </c>
      <c r="P66" s="92">
        <v>2.17</v>
      </c>
      <c r="Q66" s="93"/>
      <c r="R66" s="237">
        <v>250</v>
      </c>
      <c r="S66" s="237">
        <v>125</v>
      </c>
      <c r="T66" s="90"/>
      <c r="U66" s="52">
        <v>200</v>
      </c>
      <c r="V66" s="52">
        <v>50</v>
      </c>
      <c r="W66" s="152" t="s">
        <v>577</v>
      </c>
      <c r="X66" s="208" t="s">
        <v>578</v>
      </c>
    </row>
    <row r="67" spans="1:24" x14ac:dyDescent="0.25">
      <c r="A67" s="88">
        <v>41900</v>
      </c>
      <c r="B67" s="95" t="s">
        <v>375</v>
      </c>
      <c r="C67" s="18"/>
      <c r="D67" s="19" t="str">
        <f t="shared" si="42"/>
        <v/>
      </c>
      <c r="E67" s="19" t="str">
        <f t="shared" si="43"/>
        <v/>
      </c>
      <c r="F67" s="19" t="str">
        <f t="shared" si="44"/>
        <v/>
      </c>
      <c r="G67" s="19" t="str">
        <f t="shared" si="45"/>
        <v/>
      </c>
      <c r="H67" s="19" t="str">
        <f t="shared" si="46"/>
        <v/>
      </c>
      <c r="I67" s="19" t="str">
        <f t="shared" si="47"/>
        <v/>
      </c>
      <c r="J67" s="90"/>
      <c r="K67" s="91">
        <v>48386</v>
      </c>
      <c r="L67" s="91">
        <v>46239</v>
      </c>
      <c r="M67" s="91">
        <f>46954+1200</f>
        <v>48154</v>
      </c>
      <c r="N67" s="91">
        <f>47671+1200</f>
        <v>48871</v>
      </c>
      <c r="O67" s="91">
        <f>48386+1100</f>
        <v>49486</v>
      </c>
      <c r="P67" s="92">
        <v>2.5</v>
      </c>
      <c r="Q67" s="93"/>
      <c r="R67" s="237">
        <v>250</v>
      </c>
      <c r="S67" s="237">
        <v>125</v>
      </c>
      <c r="T67" s="90"/>
      <c r="U67" s="52">
        <v>200</v>
      </c>
      <c r="V67" s="52">
        <v>100</v>
      </c>
      <c r="W67" s="94">
        <v>43367</v>
      </c>
      <c r="X67" s="94"/>
    </row>
    <row r="68" spans="1:24" x14ac:dyDescent="0.25">
      <c r="A68" s="88">
        <v>54200</v>
      </c>
      <c r="B68" s="95" t="s">
        <v>356</v>
      </c>
      <c r="C68" s="18">
        <v>30000</v>
      </c>
      <c r="D68" s="19">
        <f t="shared" si="42"/>
        <v>6131.4833333333327</v>
      </c>
      <c r="E68" s="19">
        <f t="shared" si="43"/>
        <v>3449.3166666666671</v>
      </c>
      <c r="F68" s="19">
        <f t="shared" si="44"/>
        <v>2596.9277777777775</v>
      </c>
      <c r="G68" s="19">
        <f t="shared" si="45"/>
        <v>2170.7333333333336</v>
      </c>
      <c r="H68" s="19">
        <f t="shared" si="46"/>
        <v>1915.0166666666667</v>
      </c>
      <c r="I68" s="19">
        <f t="shared" si="47"/>
        <v>1744.5388888888888</v>
      </c>
      <c r="J68" s="90"/>
      <c r="K68" s="91">
        <f>60686</f>
        <v>60686</v>
      </c>
      <c r="L68" s="91">
        <f>58539</f>
        <v>58539</v>
      </c>
      <c r="M68" s="91">
        <f>59254+1200</f>
        <v>60454</v>
      </c>
      <c r="N68" s="91">
        <f>59970+1200</f>
        <v>61170</v>
      </c>
      <c r="O68" s="91">
        <f>60686+1100</f>
        <v>61786</v>
      </c>
      <c r="P68" s="92">
        <v>2.5</v>
      </c>
      <c r="Q68" s="93"/>
      <c r="R68" s="237">
        <v>250</v>
      </c>
      <c r="S68" s="237">
        <v>125</v>
      </c>
      <c r="T68" s="90"/>
      <c r="U68" s="52">
        <v>200</v>
      </c>
      <c r="V68" s="52">
        <v>100</v>
      </c>
      <c r="W68" s="152" t="s">
        <v>634</v>
      </c>
      <c r="X68" s="94" t="s">
        <v>635</v>
      </c>
    </row>
    <row r="69" spans="1:24" x14ac:dyDescent="0.25">
      <c r="A69" s="88">
        <v>56200</v>
      </c>
      <c r="B69" s="95" t="s">
        <v>398</v>
      </c>
      <c r="C69" s="18"/>
      <c r="D69" s="19" t="str">
        <f t="shared" si="42"/>
        <v/>
      </c>
      <c r="E69" s="19" t="str">
        <f t="shared" si="43"/>
        <v/>
      </c>
      <c r="F69" s="19" t="str">
        <f t="shared" si="44"/>
        <v/>
      </c>
      <c r="G69" s="19" t="str">
        <f t="shared" si="45"/>
        <v/>
      </c>
      <c r="H69" s="19" t="str">
        <f t="shared" si="46"/>
        <v/>
      </c>
      <c r="I69" s="19" t="str">
        <f t="shared" si="47"/>
        <v/>
      </c>
      <c r="J69" s="90"/>
      <c r="K69" s="91">
        <f>61307</f>
        <v>61307</v>
      </c>
      <c r="L69" s="91">
        <f>59821</f>
        <v>59821</v>
      </c>
      <c r="M69" s="91">
        <f>60316+1200</f>
        <v>61516</v>
      </c>
      <c r="N69" s="91">
        <f>60811+1200</f>
        <v>62011</v>
      </c>
      <c r="O69" s="91">
        <f>61307+1100</f>
        <v>62407</v>
      </c>
      <c r="P69" s="92">
        <v>2.17</v>
      </c>
      <c r="Q69" s="93"/>
      <c r="R69" s="237">
        <v>250</v>
      </c>
      <c r="S69" s="237">
        <v>125</v>
      </c>
      <c r="T69" s="90"/>
      <c r="U69" s="52">
        <v>200</v>
      </c>
      <c r="V69" s="52">
        <v>50</v>
      </c>
      <c r="W69" s="152" t="s">
        <v>413</v>
      </c>
      <c r="X69" s="94" t="s">
        <v>414</v>
      </c>
    </row>
    <row r="70" spans="1:24" x14ac:dyDescent="0.25">
      <c r="A70" s="88">
        <v>50900</v>
      </c>
      <c r="B70" s="95" t="s">
        <v>276</v>
      </c>
      <c r="C70" s="18"/>
      <c r="D70" s="19" t="str">
        <f t="shared" si="42"/>
        <v/>
      </c>
      <c r="E70" s="19" t="str">
        <f t="shared" si="43"/>
        <v/>
      </c>
      <c r="F70" s="19" t="str">
        <f t="shared" si="44"/>
        <v/>
      </c>
      <c r="G70" s="19" t="str">
        <f t="shared" si="45"/>
        <v/>
      </c>
      <c r="H70" s="19" t="str">
        <f t="shared" si="46"/>
        <v/>
      </c>
      <c r="I70" s="19" t="str">
        <f t="shared" si="47"/>
        <v/>
      </c>
      <c r="J70" s="90"/>
      <c r="K70" s="91">
        <v>56724</v>
      </c>
      <c r="L70" s="91">
        <v>54664</v>
      </c>
      <c r="M70" s="91">
        <f>55350+1200</f>
        <v>56550</v>
      </c>
      <c r="N70" s="91">
        <f>56037+1200</f>
        <v>57237</v>
      </c>
      <c r="O70" s="91">
        <f>56724+1100</f>
        <v>57824</v>
      </c>
      <c r="P70" s="92">
        <v>2.17</v>
      </c>
      <c r="Q70" s="93"/>
      <c r="R70" s="237">
        <v>250</v>
      </c>
      <c r="S70" s="237">
        <v>125</v>
      </c>
      <c r="T70" s="90"/>
      <c r="U70" s="52">
        <v>200</v>
      </c>
      <c r="V70" s="52">
        <v>50</v>
      </c>
      <c r="W70" s="152" t="s">
        <v>277</v>
      </c>
      <c r="X70" s="94" t="s">
        <v>205</v>
      </c>
    </row>
    <row r="71" spans="1:24" x14ac:dyDescent="0.25">
      <c r="A71" s="88">
        <v>58700</v>
      </c>
      <c r="B71" s="95" t="s">
        <v>374</v>
      </c>
      <c r="C71" s="18"/>
      <c r="D71" s="19" t="str">
        <f t="shared" si="42"/>
        <v/>
      </c>
      <c r="E71" s="19" t="str">
        <f t="shared" si="43"/>
        <v/>
      </c>
      <c r="F71" s="19" t="str">
        <f t="shared" si="44"/>
        <v/>
      </c>
      <c r="G71" s="19" t="str">
        <f t="shared" si="45"/>
        <v/>
      </c>
      <c r="H71" s="19" t="str">
        <f t="shared" si="46"/>
        <v/>
      </c>
      <c r="I71" s="19" t="str">
        <f t="shared" si="47"/>
        <v/>
      </c>
      <c r="J71" s="90"/>
      <c r="K71" s="91">
        <f>64524</f>
        <v>64524</v>
      </c>
      <c r="L71" s="91">
        <f>62464</f>
        <v>62464</v>
      </c>
      <c r="M71" s="91">
        <f>63150+1200</f>
        <v>64350</v>
      </c>
      <c r="N71" s="91">
        <f>63837+1200</f>
        <v>65037</v>
      </c>
      <c r="O71" s="91">
        <f>64524+1100</f>
        <v>65624</v>
      </c>
      <c r="P71" s="92">
        <v>2.17</v>
      </c>
      <c r="Q71" s="93"/>
      <c r="R71" s="237">
        <v>250</v>
      </c>
      <c r="S71" s="237">
        <v>125</v>
      </c>
      <c r="T71" s="90"/>
      <c r="U71" s="52">
        <v>200</v>
      </c>
      <c r="V71" s="52">
        <v>50</v>
      </c>
      <c r="W71" s="152" t="s">
        <v>413</v>
      </c>
      <c r="X71" s="94" t="s">
        <v>415</v>
      </c>
    </row>
    <row r="72" spans="1:24" x14ac:dyDescent="0.25">
      <c r="A72" s="88">
        <v>52900</v>
      </c>
      <c r="B72" s="95" t="s">
        <v>287</v>
      </c>
      <c r="C72" s="18"/>
      <c r="D72" s="19" t="str">
        <f t="shared" si="42"/>
        <v/>
      </c>
      <c r="E72" s="19" t="str">
        <f t="shared" si="43"/>
        <v/>
      </c>
      <c r="F72" s="19" t="str">
        <f t="shared" si="44"/>
        <v/>
      </c>
      <c r="G72" s="19" t="str">
        <f t="shared" si="45"/>
        <v/>
      </c>
      <c r="H72" s="19" t="str">
        <f t="shared" si="46"/>
        <v/>
      </c>
      <c r="I72" s="19" t="str">
        <f t="shared" si="47"/>
        <v/>
      </c>
      <c r="J72" s="90"/>
      <c r="K72" s="91">
        <v>58362</v>
      </c>
      <c r="L72" s="91">
        <v>57269</v>
      </c>
      <c r="M72" s="91">
        <f>57633+1200</f>
        <v>58833</v>
      </c>
      <c r="N72" s="91">
        <f>57997+1200</f>
        <v>59197</v>
      </c>
      <c r="O72" s="91">
        <f>58362+1100</f>
        <v>59462</v>
      </c>
      <c r="P72" s="92">
        <v>2.17</v>
      </c>
      <c r="Q72" s="93"/>
      <c r="R72" s="237">
        <v>250</v>
      </c>
      <c r="S72" s="237">
        <v>125</v>
      </c>
      <c r="T72" s="90"/>
      <c r="U72" s="52">
        <v>200</v>
      </c>
      <c r="V72" s="52">
        <v>100</v>
      </c>
      <c r="W72" s="94">
        <v>43367</v>
      </c>
      <c r="X72" s="94"/>
    </row>
    <row r="73" spans="1:24" x14ac:dyDescent="0.25">
      <c r="A73" s="88">
        <v>69500</v>
      </c>
      <c r="B73" s="95" t="s">
        <v>288</v>
      </c>
      <c r="C73" s="18">
        <v>30000</v>
      </c>
      <c r="D73" s="19">
        <f t="shared" si="42"/>
        <v>8638.9094999999998</v>
      </c>
      <c r="E73" s="19">
        <f t="shared" si="43"/>
        <v>4802.6594999999998</v>
      </c>
      <c r="F73" s="19">
        <f t="shared" si="44"/>
        <v>3565.5761666666667</v>
      </c>
      <c r="G73" s="19">
        <f t="shared" si="45"/>
        <v>2947.0344999999998</v>
      </c>
      <c r="H73" s="19">
        <f t="shared" si="46"/>
        <v>2575.9094999999998</v>
      </c>
      <c r="I73" s="19">
        <f t="shared" si="47"/>
        <v>2328.4928333333332</v>
      </c>
      <c r="J73" s="90"/>
      <c r="K73" s="91">
        <f>74535</f>
        <v>74535</v>
      </c>
      <c r="L73" s="91">
        <f>73342</f>
        <v>73342</v>
      </c>
      <c r="M73" s="91">
        <f>73739+1200</f>
        <v>74939</v>
      </c>
      <c r="N73" s="91">
        <f>74137+1200</f>
        <v>75337</v>
      </c>
      <c r="O73" s="91">
        <f>74535+1100</f>
        <v>75635</v>
      </c>
      <c r="P73" s="92">
        <v>2.17</v>
      </c>
      <c r="Q73" s="93"/>
      <c r="R73" s="237">
        <v>250</v>
      </c>
      <c r="S73" s="237">
        <v>125</v>
      </c>
      <c r="T73" s="90"/>
      <c r="U73" s="52">
        <v>200</v>
      </c>
      <c r="V73" s="52">
        <v>100</v>
      </c>
      <c r="W73" s="152" t="s">
        <v>632</v>
      </c>
      <c r="X73" s="94" t="s">
        <v>633</v>
      </c>
    </row>
    <row r="74" spans="1:24" x14ac:dyDescent="0.25">
      <c r="A74" s="88">
        <v>175000</v>
      </c>
      <c r="B74" s="89" t="s">
        <v>188</v>
      </c>
      <c r="C74" s="18"/>
      <c r="D74" s="19" t="str">
        <f t="shared" si="42"/>
        <v/>
      </c>
      <c r="E74" s="19" t="str">
        <f t="shared" si="43"/>
        <v/>
      </c>
      <c r="F74" s="19" t="str">
        <f t="shared" si="44"/>
        <v/>
      </c>
      <c r="G74" s="19" t="str">
        <f t="shared" si="45"/>
        <v/>
      </c>
      <c r="H74" s="19" t="str">
        <f t="shared" si="46"/>
        <v/>
      </c>
      <c r="I74" s="19" t="str">
        <f t="shared" si="47"/>
        <v/>
      </c>
      <c r="J74" s="90"/>
      <c r="K74" s="91">
        <v>179917</v>
      </c>
      <c r="L74" s="91">
        <v>176681</v>
      </c>
      <c r="M74" s="91">
        <f>177759+1200</f>
        <v>178959</v>
      </c>
      <c r="N74" s="91">
        <f>178837+1200</f>
        <v>180037</v>
      </c>
      <c r="O74" s="91">
        <f>179917+1100</f>
        <v>181017</v>
      </c>
      <c r="P74" s="92">
        <v>2.5</v>
      </c>
      <c r="Q74" s="93"/>
      <c r="R74" s="237">
        <v>250</v>
      </c>
      <c r="S74" s="237">
        <v>125</v>
      </c>
      <c r="T74" s="90"/>
      <c r="U74" s="52">
        <v>350</v>
      </c>
      <c r="V74" s="52">
        <v>100</v>
      </c>
      <c r="W74" s="152" t="s">
        <v>190</v>
      </c>
      <c r="X74" s="152"/>
    </row>
    <row r="75" spans="1:24" x14ac:dyDescent="0.25">
      <c r="A75" s="88">
        <v>199900</v>
      </c>
      <c r="B75" s="89" t="s">
        <v>357</v>
      </c>
      <c r="C75" s="18"/>
      <c r="D75" s="19" t="str">
        <f t="shared" si="42"/>
        <v/>
      </c>
      <c r="E75" s="19" t="str">
        <f t="shared" si="43"/>
        <v/>
      </c>
      <c r="F75" s="19" t="str">
        <f t="shared" si="44"/>
        <v/>
      </c>
      <c r="G75" s="19" t="str">
        <f t="shared" si="45"/>
        <v/>
      </c>
      <c r="H75" s="19" t="str">
        <f t="shared" si="46"/>
        <v/>
      </c>
      <c r="I75" s="19" t="str">
        <f t="shared" si="47"/>
        <v/>
      </c>
      <c r="J75" s="90"/>
      <c r="K75" s="91">
        <v>204817</v>
      </c>
      <c r="L75" s="91">
        <v>201581</v>
      </c>
      <c r="M75" s="91">
        <f>202659+1200</f>
        <v>203859</v>
      </c>
      <c r="N75" s="91">
        <f>203738+1200</f>
        <v>204938</v>
      </c>
      <c r="O75" s="91">
        <f>204817+1100</f>
        <v>205917</v>
      </c>
      <c r="P75" s="92">
        <v>2.5</v>
      </c>
      <c r="Q75" s="93"/>
      <c r="R75" s="237">
        <v>250</v>
      </c>
      <c r="S75" s="237">
        <v>125</v>
      </c>
      <c r="T75" s="90"/>
      <c r="U75" s="52">
        <v>350</v>
      </c>
      <c r="V75" s="52">
        <v>100</v>
      </c>
      <c r="W75" s="152" t="s">
        <v>413</v>
      </c>
      <c r="X75" s="152" t="s">
        <v>420</v>
      </c>
    </row>
    <row r="76" spans="1:24" x14ac:dyDescent="0.25">
      <c r="A76" s="88">
        <v>208900</v>
      </c>
      <c r="B76" s="89" t="s">
        <v>509</v>
      </c>
      <c r="C76" s="18"/>
      <c r="D76" s="19" t="str">
        <f>IF(C76&gt;=1,(K76-C76)*(1+P76*$D$4/100)/$D$4+Q76+R76,"")</f>
        <v/>
      </c>
      <c r="E76" s="19" t="str">
        <f t="shared" si="43"/>
        <v/>
      </c>
      <c r="F76" s="19" t="str">
        <f t="shared" si="44"/>
        <v/>
      </c>
      <c r="G76" s="19" t="str">
        <f t="shared" si="45"/>
        <v/>
      </c>
      <c r="H76" s="19" t="str">
        <f t="shared" si="46"/>
        <v/>
      </c>
      <c r="I76" s="19" t="str">
        <f t="shared" si="47"/>
        <v/>
      </c>
      <c r="J76" s="90"/>
      <c r="K76" s="91">
        <f>213817</f>
        <v>213817</v>
      </c>
      <c r="L76" s="91">
        <f>210581</f>
        <v>210581</v>
      </c>
      <c r="M76" s="91">
        <f>211659+1200</f>
        <v>212859</v>
      </c>
      <c r="N76" s="91">
        <f>212738+1200</f>
        <v>213938</v>
      </c>
      <c r="O76" s="91">
        <f>213817+1100</f>
        <v>214917</v>
      </c>
      <c r="P76" s="92">
        <v>2.5</v>
      </c>
      <c r="Q76" s="93"/>
      <c r="R76" s="237">
        <v>250</v>
      </c>
      <c r="S76" s="237">
        <v>125</v>
      </c>
      <c r="T76" s="90"/>
      <c r="U76" s="52">
        <v>350</v>
      </c>
      <c r="V76" s="52">
        <v>100</v>
      </c>
      <c r="W76" s="152" t="s">
        <v>510</v>
      </c>
      <c r="X76" s="152" t="s">
        <v>511</v>
      </c>
    </row>
    <row r="77" spans="1:24" x14ac:dyDescent="0.25">
      <c r="A77" s="88">
        <v>65400</v>
      </c>
      <c r="B77" s="89" t="s">
        <v>192</v>
      </c>
      <c r="C77" s="18"/>
      <c r="D77" s="19" t="str">
        <f t="shared" si="42"/>
        <v/>
      </c>
      <c r="E77" s="19" t="str">
        <f t="shared" si="43"/>
        <v/>
      </c>
      <c r="F77" s="19" t="str">
        <f t="shared" si="44"/>
        <v/>
      </c>
      <c r="G77" s="19" t="str">
        <f t="shared" si="45"/>
        <v/>
      </c>
      <c r="H77" s="19" t="str">
        <f t="shared" si="46"/>
        <v/>
      </c>
      <c r="I77" s="19" t="str">
        <f>IF(C77&gt;=1, (K77-C77)*(1+$P77*$I$4/100)/$I$4+Q77+S77, "")</f>
        <v/>
      </c>
      <c r="J77" s="90"/>
      <c r="K77" s="91">
        <v>72744</v>
      </c>
      <c r="L77" s="91">
        <v>70062</v>
      </c>
      <c r="M77" s="91">
        <f>69956+1000+1200</f>
        <v>72156</v>
      </c>
      <c r="N77" s="91">
        <f>70850+1000+1200</f>
        <v>73050</v>
      </c>
      <c r="O77" s="91">
        <f>71744+1000+1100</f>
        <v>73844</v>
      </c>
      <c r="P77" s="92">
        <v>2.17</v>
      </c>
      <c r="Q77" s="93"/>
      <c r="R77" s="237">
        <v>250</v>
      </c>
      <c r="S77" s="237">
        <v>125</v>
      </c>
      <c r="T77" s="90"/>
      <c r="U77" s="52">
        <v>400</v>
      </c>
      <c r="V77" s="52">
        <v>100</v>
      </c>
      <c r="W77" s="152" t="s">
        <v>193</v>
      </c>
      <c r="X77" s="152"/>
    </row>
    <row r="78" spans="1:24" x14ac:dyDescent="0.25">
      <c r="A78" s="88">
        <v>75900</v>
      </c>
      <c r="B78" s="89" t="s">
        <v>218</v>
      </c>
      <c r="C78" s="18"/>
      <c r="D78" s="19" t="str">
        <f t="shared" si="42"/>
        <v/>
      </c>
      <c r="E78" s="19" t="str">
        <f t="shared" si="43"/>
        <v/>
      </c>
      <c r="F78" s="19" t="str">
        <f t="shared" si="44"/>
        <v/>
      </c>
      <c r="G78" s="19" t="str">
        <f t="shared" si="45"/>
        <v/>
      </c>
      <c r="H78" s="19" t="str">
        <f t="shared" si="46"/>
        <v/>
      </c>
      <c r="I78" s="19" t="str">
        <f t="shared" si="47"/>
        <v/>
      </c>
      <c r="J78" s="90"/>
      <c r="K78" s="91">
        <v>83244</v>
      </c>
      <c r="L78" s="91">
        <v>80562</v>
      </c>
      <c r="M78" s="91">
        <f>81456+1200</f>
        <v>82656</v>
      </c>
      <c r="N78" s="91">
        <f>82350+1200</f>
        <v>83550</v>
      </c>
      <c r="O78" s="91">
        <f>83244+1100</f>
        <v>84344</v>
      </c>
      <c r="P78" s="92">
        <v>2.17</v>
      </c>
      <c r="Q78" s="93"/>
      <c r="R78" s="237">
        <v>250</v>
      </c>
      <c r="S78" s="237">
        <v>125</v>
      </c>
      <c r="T78" s="90"/>
      <c r="U78" s="52">
        <v>200</v>
      </c>
      <c r="V78" s="52">
        <v>100</v>
      </c>
      <c r="W78" s="94">
        <v>43773</v>
      </c>
      <c r="X78" s="94" t="s">
        <v>219</v>
      </c>
    </row>
    <row r="79" spans="1:24" x14ac:dyDescent="0.25">
      <c r="A79" s="88">
        <v>150000</v>
      </c>
      <c r="B79" s="95" t="s">
        <v>486</v>
      </c>
      <c r="C79" s="18"/>
      <c r="D79" s="231"/>
      <c r="E79" s="231"/>
      <c r="F79" s="231"/>
      <c r="G79" s="231"/>
      <c r="H79" s="231"/>
      <c r="I79" s="231"/>
      <c r="J79" s="90"/>
      <c r="K79" s="91"/>
      <c r="L79" s="91">
        <v>150000</v>
      </c>
      <c r="M79" s="91"/>
      <c r="N79" s="91"/>
      <c r="O79" s="91"/>
      <c r="P79" s="92"/>
      <c r="Q79" s="93"/>
      <c r="R79" s="237"/>
      <c r="S79" s="237"/>
      <c r="T79" s="90"/>
      <c r="U79" s="52"/>
      <c r="V79" s="52"/>
      <c r="W79" s="94">
        <v>45043</v>
      </c>
      <c r="X79" s="94" t="s">
        <v>485</v>
      </c>
    </row>
    <row r="80" spans="1:24" x14ac:dyDescent="0.25">
      <c r="A80" s="88">
        <v>160000</v>
      </c>
      <c r="B80" s="95" t="s">
        <v>487</v>
      </c>
      <c r="C80" s="18"/>
      <c r="D80" s="231"/>
      <c r="E80" s="231"/>
      <c r="F80" s="231"/>
      <c r="G80" s="231"/>
      <c r="H80" s="231"/>
      <c r="I80" s="231"/>
      <c r="J80" s="90"/>
      <c r="K80" s="91"/>
      <c r="L80" s="91">
        <v>160000</v>
      </c>
      <c r="M80" s="91"/>
      <c r="N80" s="91"/>
      <c r="O80" s="91"/>
      <c r="P80" s="92"/>
      <c r="Q80" s="93"/>
      <c r="R80" s="237"/>
      <c r="S80" s="237"/>
      <c r="T80" s="90"/>
      <c r="U80" s="52"/>
      <c r="V80" s="52"/>
      <c r="W80" s="94">
        <v>45043</v>
      </c>
      <c r="X80" s="94" t="s">
        <v>488</v>
      </c>
    </row>
    <row r="81" spans="1:24" x14ac:dyDescent="0.25">
      <c r="A81" s="88">
        <v>122500</v>
      </c>
      <c r="B81" s="89" t="s">
        <v>232</v>
      </c>
      <c r="C81" s="18"/>
      <c r="D81" s="19" t="str">
        <f>IF(C81&gt;=1,(K81-C81)*(1+P81*$D$4/100)/$D$4+Q81+R81,"")</f>
        <v/>
      </c>
      <c r="E81" s="19" t="str">
        <f>IF(C81&gt;=1,(K81-C81)*(1+P81*$E$4/100)/$E$4+Q81+S81,"")</f>
        <v/>
      </c>
      <c r="F81" s="19" t="str">
        <f>IF(C81&gt;=1,(K81-C81)*(1+$P81*$F$4/100)/$F$4+Q81+S81, "")</f>
        <v/>
      </c>
      <c r="G81" s="19" t="str">
        <f t="shared" si="45"/>
        <v/>
      </c>
      <c r="H81" s="231"/>
      <c r="I81" s="231"/>
      <c r="J81" s="90"/>
      <c r="K81" s="91">
        <v>127119</v>
      </c>
      <c r="L81" s="91">
        <v>127119</v>
      </c>
      <c r="M81" s="91">
        <f>128079+240</f>
        <v>128319</v>
      </c>
      <c r="N81" s="91">
        <f>128079+240</f>
        <v>128319</v>
      </c>
      <c r="O81" s="91">
        <f>128079+240</f>
        <v>128319</v>
      </c>
      <c r="P81" s="92">
        <v>2.5</v>
      </c>
      <c r="Q81" s="93"/>
      <c r="R81" s="237">
        <v>250</v>
      </c>
      <c r="S81" s="237">
        <v>125</v>
      </c>
      <c r="T81" s="90"/>
      <c r="U81" s="52">
        <v>200</v>
      </c>
      <c r="V81" s="52">
        <v>100</v>
      </c>
      <c r="W81" s="94">
        <v>43869</v>
      </c>
      <c r="X81" s="94" t="s">
        <v>205</v>
      </c>
    </row>
    <row r="82" spans="1:24" x14ac:dyDescent="0.25">
      <c r="A82" s="88">
        <v>132400</v>
      </c>
      <c r="B82" s="95" t="s">
        <v>371</v>
      </c>
      <c r="C82" s="18"/>
      <c r="D82" s="19" t="str">
        <f t="shared" ref="D82:D94" si="66">IF(C82&gt;=1,(K82-C82)*(1+P82*$D$4/100)/$D$4+Q82+R82,"")</f>
        <v/>
      </c>
      <c r="E82" s="19" t="str">
        <f t="shared" ref="E82:E94" si="67">IF(C82&gt;=1,(K82-C82)*(1+P82*$E$4/100)/$E$4+Q82+S82,"")</f>
        <v/>
      </c>
      <c r="F82" s="19" t="str">
        <f t="shared" ref="F82:F94" si="68">IF(C82&gt;=1,(K82-C82)*(1+$P82*$F$4/100)/$F$4+Q82+S82, "")</f>
        <v/>
      </c>
      <c r="G82" s="19" t="str">
        <f t="shared" si="45"/>
        <v/>
      </c>
      <c r="H82" s="231"/>
      <c r="I82" s="231"/>
      <c r="J82" s="90"/>
      <c r="K82" s="91">
        <v>134678</v>
      </c>
      <c r="L82" s="91">
        <v>134678</v>
      </c>
      <c r="M82" s="91">
        <f>L82</f>
        <v>134678</v>
      </c>
      <c r="N82" s="91">
        <f>L82</f>
        <v>134678</v>
      </c>
      <c r="O82" s="91">
        <f>L82+1200</f>
        <v>135878</v>
      </c>
      <c r="P82" s="92">
        <v>2.5</v>
      </c>
      <c r="Q82" s="93"/>
      <c r="R82" s="237">
        <v>250</v>
      </c>
      <c r="S82" s="237">
        <v>125</v>
      </c>
      <c r="T82" s="90"/>
      <c r="U82" s="52">
        <v>200</v>
      </c>
      <c r="V82" s="52">
        <v>100</v>
      </c>
      <c r="W82" s="152" t="s">
        <v>372</v>
      </c>
      <c r="X82" s="94" t="s">
        <v>373</v>
      </c>
    </row>
    <row r="83" spans="1:24" x14ac:dyDescent="0.25">
      <c r="A83" s="88">
        <v>134900</v>
      </c>
      <c r="B83" s="95" t="s">
        <v>629</v>
      </c>
      <c r="C83" s="18">
        <v>80000</v>
      </c>
      <c r="D83" s="19">
        <f t="shared" ref="D83:D84" si="69">IF(C83&gt;=1,(K83-C83)*(1+P83*$D$4/100)/$D$4+Q83+R83,"")</f>
        <v>10972.584133333332</v>
      </c>
      <c r="E83" s="19">
        <f t="shared" ref="E83:E84" si="70">IF(C83&gt;=1,(K83-C83)*(1+P83*$E$4/100)/$E$4+Q83+S83,"")</f>
        <v>6103.9174666666668</v>
      </c>
      <c r="F83" s="19">
        <f t="shared" ref="F83:F84" si="71">IF(C83&gt;=1,(K83-C83)*(1+$P83*$F$4/100)/$F$4+Q83+S83, "")</f>
        <v>4522.6952444444441</v>
      </c>
      <c r="G83" s="19">
        <f t="shared" ref="G83:G84" si="72">IF(C83&gt;=1, (K83-C83)*(1+$P83*$G$4/100)/$G$4+Q83+S83,"")</f>
        <v>3732.0841333333333</v>
      </c>
      <c r="H83" s="231"/>
      <c r="I83" s="231"/>
      <c r="J83" s="90"/>
      <c r="K83" s="91">
        <f>136924</f>
        <v>136924</v>
      </c>
      <c r="L83" s="91">
        <f>134900</f>
        <v>134900</v>
      </c>
      <c r="M83" s="91">
        <f>135575+1200</f>
        <v>136775</v>
      </c>
      <c r="N83" s="91">
        <f>136249+1200</f>
        <v>137449</v>
      </c>
      <c r="O83" s="91">
        <f>136924+1100</f>
        <v>138024</v>
      </c>
      <c r="P83" s="92">
        <v>2.17</v>
      </c>
      <c r="Q83" s="93"/>
      <c r="R83" s="237">
        <v>250</v>
      </c>
      <c r="S83" s="237">
        <v>125</v>
      </c>
      <c r="T83" s="90"/>
      <c r="U83" s="52">
        <v>200</v>
      </c>
      <c r="V83" s="52">
        <v>100</v>
      </c>
      <c r="W83" s="152" t="s">
        <v>630</v>
      </c>
      <c r="X83" s="94" t="s">
        <v>631</v>
      </c>
    </row>
    <row r="84" spans="1:24" x14ac:dyDescent="0.25">
      <c r="A84" s="88">
        <v>124900</v>
      </c>
      <c r="B84" s="95" t="s">
        <v>640</v>
      </c>
      <c r="C84" s="18">
        <v>80000</v>
      </c>
      <c r="D84" s="19">
        <f t="shared" si="69"/>
        <v>9215.0166666666664</v>
      </c>
      <c r="E84" s="19">
        <f t="shared" si="70"/>
        <v>5192.1833333333334</v>
      </c>
      <c r="F84" s="19">
        <f t="shared" si="71"/>
        <v>3892.9055555555556</v>
      </c>
      <c r="G84" s="19">
        <f t="shared" si="72"/>
        <v>3243.2666666666669</v>
      </c>
      <c r="H84" s="231"/>
      <c r="I84" s="231"/>
      <c r="J84" s="90"/>
      <c r="K84" s="91">
        <f>126774</f>
        <v>126774</v>
      </c>
      <c r="L84" s="91">
        <f>124900</f>
        <v>124900</v>
      </c>
      <c r="M84" s="91">
        <f>125525+1200</f>
        <v>126725</v>
      </c>
      <c r="N84" s="91">
        <f>126149+1200</f>
        <v>127349</v>
      </c>
      <c r="O84" s="91">
        <f>126774+1100</f>
        <v>127874</v>
      </c>
      <c r="P84" s="92">
        <v>2.5</v>
      </c>
      <c r="Q84" s="93"/>
      <c r="R84" s="237">
        <v>250</v>
      </c>
      <c r="S84" s="237">
        <v>125</v>
      </c>
      <c r="T84" s="90"/>
      <c r="U84" s="52">
        <v>200</v>
      </c>
      <c r="V84" s="52">
        <v>100</v>
      </c>
      <c r="W84" s="152" t="s">
        <v>641</v>
      </c>
      <c r="X84" s="94" t="s">
        <v>642</v>
      </c>
    </row>
    <row r="85" spans="1:24" x14ac:dyDescent="0.25">
      <c r="A85" s="88">
        <v>136900</v>
      </c>
      <c r="B85" s="95" t="s">
        <v>691</v>
      </c>
      <c r="C85" s="18">
        <v>80000</v>
      </c>
      <c r="D85" s="19">
        <f t="shared" ref="D85" si="73">IF(C85&gt;=1,(K85-C85)*(1+P85*$D$4/100)/$D$4+Q85+R85,"")</f>
        <v>11549.516666666665</v>
      </c>
      <c r="E85" s="19">
        <f t="shared" ref="E85" si="74">IF(C85&gt;=1,(K85-C85)*(1+P85*$E$4/100)/$E$4+Q85+S85,"")</f>
        <v>6511.6833333333334</v>
      </c>
      <c r="F85" s="19">
        <f t="shared" ref="F85" si="75">IF(C85&gt;=1,(K85-C85)*(1+$P85*$F$4/100)/$F$4+Q85+S85, "")</f>
        <v>4874.0722222222221</v>
      </c>
      <c r="G85" s="19">
        <f t="shared" ref="G85" si="76">IF(C85&gt;=1, (K85-C85)*(1+$P85*$G$4/100)/$G$4+Q85+S85,"")</f>
        <v>4055.2666666666669</v>
      </c>
      <c r="H85" s="231"/>
      <c r="I85" s="231"/>
      <c r="J85" s="90"/>
      <c r="K85" s="91">
        <f>138954</f>
        <v>138954</v>
      </c>
      <c r="L85" s="91">
        <f>136900</f>
        <v>136900</v>
      </c>
      <c r="M85" s="91">
        <f>137585+1200</f>
        <v>138785</v>
      </c>
      <c r="N85" s="91">
        <f>138269+1200</f>
        <v>139469</v>
      </c>
      <c r="O85" s="91">
        <f>138954+1100</f>
        <v>140054</v>
      </c>
      <c r="P85" s="92">
        <v>2.5</v>
      </c>
      <c r="Q85" s="93"/>
      <c r="R85" s="237">
        <v>250</v>
      </c>
      <c r="S85" s="237">
        <v>125</v>
      </c>
      <c r="T85" s="90"/>
      <c r="U85" s="52">
        <v>200</v>
      </c>
      <c r="V85" s="52">
        <v>100</v>
      </c>
      <c r="W85" s="152" t="s">
        <v>641</v>
      </c>
      <c r="X85" s="94" t="s">
        <v>643</v>
      </c>
    </row>
    <row r="86" spans="1:24" x14ac:dyDescent="0.25">
      <c r="A86" s="88">
        <v>149726</v>
      </c>
      <c r="B86" s="95" t="s">
        <v>689</v>
      </c>
      <c r="C86" s="18"/>
      <c r="D86" s="251"/>
      <c r="E86" s="251"/>
      <c r="F86" s="251"/>
      <c r="G86" s="251"/>
      <c r="H86" s="231"/>
      <c r="I86" s="231"/>
      <c r="J86" s="90"/>
      <c r="K86" s="91"/>
      <c r="L86" s="91">
        <v>162000</v>
      </c>
      <c r="M86" s="91"/>
      <c r="N86" s="91"/>
      <c r="O86" s="91"/>
      <c r="P86" s="92"/>
      <c r="Q86" s="93"/>
      <c r="R86" s="237"/>
      <c r="S86" s="237"/>
      <c r="T86" s="90"/>
      <c r="U86" s="52"/>
      <c r="V86" s="52"/>
      <c r="W86" s="152" t="s">
        <v>687</v>
      </c>
      <c r="X86" s="94" t="s">
        <v>690</v>
      </c>
    </row>
    <row r="87" spans="1:24" x14ac:dyDescent="0.25">
      <c r="A87" s="88">
        <v>92000</v>
      </c>
      <c r="B87" s="89" t="s">
        <v>233</v>
      </c>
      <c r="C87" s="18"/>
      <c r="D87" s="19" t="str">
        <f t="shared" si="66"/>
        <v/>
      </c>
      <c r="E87" s="19" t="str">
        <f t="shared" si="67"/>
        <v/>
      </c>
      <c r="F87" s="19" t="str">
        <f t="shared" si="68"/>
        <v/>
      </c>
      <c r="G87" s="19" t="str">
        <f t="shared" si="45"/>
        <v/>
      </c>
      <c r="H87" s="19" t="str">
        <f t="shared" si="46"/>
        <v/>
      </c>
      <c r="I87" s="19" t="str">
        <f t="shared" si="47"/>
        <v/>
      </c>
      <c r="J87" s="90"/>
      <c r="K87" s="91">
        <v>97889</v>
      </c>
      <c r="L87" s="91">
        <v>95316</v>
      </c>
      <c r="M87" s="91">
        <f>96173+1200</f>
        <v>97373</v>
      </c>
      <c r="N87" s="91">
        <f>97031+1200</f>
        <v>98231</v>
      </c>
      <c r="O87" s="91">
        <f>97889+1100</f>
        <v>98989</v>
      </c>
      <c r="P87" s="92">
        <v>2.5</v>
      </c>
      <c r="Q87" s="93"/>
      <c r="R87" s="237">
        <v>250</v>
      </c>
      <c r="S87" s="237">
        <v>125</v>
      </c>
      <c r="T87" s="90"/>
      <c r="U87" s="52">
        <v>300</v>
      </c>
      <c r="V87" s="52">
        <v>100</v>
      </c>
      <c r="W87" s="152" t="s">
        <v>234</v>
      </c>
      <c r="X87" s="94" t="s">
        <v>235</v>
      </c>
    </row>
    <row r="88" spans="1:24" x14ac:dyDescent="0.25">
      <c r="A88" s="88">
        <v>99900</v>
      </c>
      <c r="B88" s="89" t="s">
        <v>376</v>
      </c>
      <c r="C88" s="18"/>
      <c r="D88" s="19" t="str">
        <f t="shared" si="66"/>
        <v/>
      </c>
      <c r="E88" s="19" t="str">
        <f t="shared" si="67"/>
        <v/>
      </c>
      <c r="F88" s="19" t="str">
        <f t="shared" si="68"/>
        <v/>
      </c>
      <c r="G88" s="19" t="str">
        <f t="shared" si="45"/>
        <v/>
      </c>
      <c r="H88" s="19" t="str">
        <f t="shared" si="46"/>
        <v/>
      </c>
      <c r="I88" s="19" t="str">
        <f t="shared" si="47"/>
        <v/>
      </c>
      <c r="J88" s="90"/>
      <c r="K88" s="91">
        <f>105789</f>
        <v>105789</v>
      </c>
      <c r="L88" s="91">
        <f>103216</f>
        <v>103216</v>
      </c>
      <c r="M88" s="91">
        <f>104073+1200</f>
        <v>105273</v>
      </c>
      <c r="N88" s="91">
        <f>104931+1200</f>
        <v>106131</v>
      </c>
      <c r="O88" s="91">
        <f>105789+1100</f>
        <v>106889</v>
      </c>
      <c r="P88" s="92">
        <v>2.5</v>
      </c>
      <c r="Q88" s="93"/>
      <c r="R88" s="237">
        <v>250</v>
      </c>
      <c r="S88" s="237">
        <v>125</v>
      </c>
      <c r="T88" s="90"/>
      <c r="U88" s="52">
        <v>300</v>
      </c>
      <c r="V88" s="52">
        <v>100</v>
      </c>
      <c r="W88" s="152" t="s">
        <v>413</v>
      </c>
      <c r="X88" s="94" t="s">
        <v>417</v>
      </c>
    </row>
    <row r="89" spans="1:24" x14ac:dyDescent="0.25">
      <c r="A89" s="88">
        <v>129800</v>
      </c>
      <c r="B89" s="202" t="s">
        <v>304</v>
      </c>
      <c r="C89" s="18"/>
      <c r="D89" s="19" t="str">
        <f t="shared" si="66"/>
        <v/>
      </c>
      <c r="E89" s="19" t="str">
        <f t="shared" si="67"/>
        <v/>
      </c>
      <c r="F89" s="19" t="str">
        <f t="shared" si="68"/>
        <v/>
      </c>
      <c r="G89" s="19" t="str">
        <f t="shared" si="45"/>
        <v/>
      </c>
      <c r="H89" s="19" t="str">
        <f>IF(C89&gt;=1, (K89-C89)*(1+$P89*$H$4/100)/$H$4+Q89+S89, "")</f>
        <v/>
      </c>
      <c r="I89" s="19" t="str">
        <f t="shared" si="47"/>
        <v/>
      </c>
      <c r="J89" s="90"/>
      <c r="K89" s="91">
        <f>133989</f>
        <v>133989</v>
      </c>
      <c r="L89" s="91">
        <f>131700</f>
        <v>131700</v>
      </c>
      <c r="M89" s="91">
        <f>132463+1200</f>
        <v>133663</v>
      </c>
      <c r="N89" s="91">
        <f>133226+1200</f>
        <v>134426</v>
      </c>
      <c r="O89" s="91">
        <f>133989+1100</f>
        <v>135089</v>
      </c>
      <c r="P89" s="92">
        <v>2.5</v>
      </c>
      <c r="Q89" s="93"/>
      <c r="R89" s="237">
        <v>250</v>
      </c>
      <c r="S89" s="237">
        <v>125</v>
      </c>
      <c r="T89" s="90"/>
      <c r="U89" s="52">
        <v>300</v>
      </c>
      <c r="V89" s="52">
        <v>100</v>
      </c>
      <c r="W89" s="152" t="s">
        <v>413</v>
      </c>
      <c r="X89" s="94" t="s">
        <v>418</v>
      </c>
    </row>
    <row r="90" spans="1:24" x14ac:dyDescent="0.25">
      <c r="A90" s="88">
        <v>99900</v>
      </c>
      <c r="B90" s="89" t="s">
        <v>135</v>
      </c>
      <c r="C90" s="18"/>
      <c r="D90" s="19" t="str">
        <f t="shared" si="66"/>
        <v/>
      </c>
      <c r="E90" s="19" t="str">
        <f t="shared" si="67"/>
        <v/>
      </c>
      <c r="F90" s="19" t="str">
        <f t="shared" si="68"/>
        <v/>
      </c>
      <c r="G90" s="19" t="str">
        <f t="shared" si="45"/>
        <v/>
      </c>
      <c r="H90" s="19" t="str">
        <f t="shared" si="46"/>
        <v/>
      </c>
      <c r="I90" s="19" t="str">
        <f t="shared" si="47"/>
        <v/>
      </c>
      <c r="J90" s="90"/>
      <c r="K90" s="91">
        <v>106224</v>
      </c>
      <c r="L90" s="91">
        <v>102486</v>
      </c>
      <c r="M90" s="91">
        <f>104692+240</f>
        <v>104932</v>
      </c>
      <c r="N90" s="91">
        <f>105938+240</f>
        <v>106178</v>
      </c>
      <c r="O90" s="91">
        <f>107084+240</f>
        <v>107324</v>
      </c>
      <c r="P90" s="92">
        <v>2.5</v>
      </c>
      <c r="Q90" s="93"/>
      <c r="R90" s="237">
        <v>250</v>
      </c>
      <c r="S90" s="237">
        <v>125</v>
      </c>
      <c r="T90" s="90"/>
      <c r="U90" s="52">
        <v>200</v>
      </c>
      <c r="V90" s="52">
        <v>100</v>
      </c>
      <c r="W90" s="94"/>
      <c r="X90" s="94"/>
    </row>
    <row r="91" spans="1:24" x14ac:dyDescent="0.25">
      <c r="A91" s="88">
        <v>125000</v>
      </c>
      <c r="B91" s="89" t="s">
        <v>134</v>
      </c>
      <c r="C91" s="18"/>
      <c r="D91" s="19" t="str">
        <f t="shared" si="66"/>
        <v/>
      </c>
      <c r="E91" s="19" t="str">
        <f t="shared" si="67"/>
        <v/>
      </c>
      <c r="F91" s="19" t="str">
        <f t="shared" si="68"/>
        <v/>
      </c>
      <c r="G91" s="19" t="str">
        <f t="shared" si="45"/>
        <v/>
      </c>
      <c r="H91" s="19" t="str">
        <f t="shared" si="46"/>
        <v/>
      </c>
      <c r="I91" s="19" t="str">
        <f t="shared" si="47"/>
        <v/>
      </c>
      <c r="J91" s="90"/>
      <c r="K91" s="91">
        <v>130321</v>
      </c>
      <c r="L91" s="91">
        <v>127862</v>
      </c>
      <c r="M91" s="91">
        <f>129821+240</f>
        <v>130061</v>
      </c>
      <c r="N91" s="91">
        <f>130461+240</f>
        <v>130701</v>
      </c>
      <c r="O91" s="91">
        <f>131081+240</f>
        <v>131321</v>
      </c>
      <c r="P91" s="92">
        <v>2.5</v>
      </c>
      <c r="Q91" s="93"/>
      <c r="R91" s="237">
        <v>250</v>
      </c>
      <c r="S91" s="237">
        <v>125</v>
      </c>
      <c r="T91" s="90"/>
      <c r="U91" s="52">
        <v>200</v>
      </c>
      <c r="V91" s="52">
        <v>100</v>
      </c>
      <c r="W91" s="94"/>
      <c r="X91" s="94"/>
    </row>
    <row r="92" spans="1:24" x14ac:dyDescent="0.25">
      <c r="A92" s="88">
        <v>149500</v>
      </c>
      <c r="B92" s="89" t="s">
        <v>360</v>
      </c>
      <c r="C92" s="18"/>
      <c r="D92" s="19" t="str">
        <f t="shared" si="66"/>
        <v/>
      </c>
      <c r="E92" s="19" t="str">
        <f t="shared" si="67"/>
        <v/>
      </c>
      <c r="F92" s="19" t="str">
        <f t="shared" si="68"/>
        <v/>
      </c>
      <c r="G92" s="19" t="str">
        <f t="shared" si="45"/>
        <v/>
      </c>
      <c r="H92" s="19" t="str">
        <f>IF(C92&gt;=1, (K92-C92)*(1+$P92*$H$4/100)/$H$4+Q92+S92, "")</f>
        <v/>
      </c>
      <c r="I92" s="19" t="str">
        <f t="shared" si="47"/>
        <v/>
      </c>
      <c r="J92" s="90"/>
      <c r="K92" s="91">
        <f>153247</f>
        <v>153247</v>
      </c>
      <c r="L92" s="91">
        <f>149625</f>
        <v>149625</v>
      </c>
      <c r="M92" s="91">
        <f>150832+1200</f>
        <v>152032</v>
      </c>
      <c r="N92" s="91">
        <f>152039+1200</f>
        <v>153239</v>
      </c>
      <c r="O92" s="91">
        <f>153247+1100</f>
        <v>154347</v>
      </c>
      <c r="P92" s="92">
        <v>2.5</v>
      </c>
      <c r="Q92" s="93"/>
      <c r="R92" s="237">
        <v>250</v>
      </c>
      <c r="S92" s="237">
        <v>125</v>
      </c>
      <c r="T92" s="90"/>
      <c r="U92" s="52">
        <v>300</v>
      </c>
      <c r="V92" s="52">
        <v>100</v>
      </c>
      <c r="W92" s="152" t="s">
        <v>413</v>
      </c>
      <c r="X92" s="94" t="s">
        <v>419</v>
      </c>
    </row>
    <row r="93" spans="1:24" x14ac:dyDescent="0.25">
      <c r="A93" s="88">
        <v>82000</v>
      </c>
      <c r="B93" s="89" t="s">
        <v>346</v>
      </c>
      <c r="C93" s="18"/>
      <c r="D93" s="19" t="str">
        <f t="shared" si="66"/>
        <v/>
      </c>
      <c r="E93" s="19" t="str">
        <f t="shared" si="67"/>
        <v/>
      </c>
      <c r="F93" s="19" t="str">
        <f t="shared" si="68"/>
        <v/>
      </c>
      <c r="G93" s="19" t="str">
        <f t="shared" si="45"/>
        <v/>
      </c>
      <c r="H93" s="19" t="str">
        <f t="shared" si="46"/>
        <v/>
      </c>
      <c r="I93" s="19" t="str">
        <f t="shared" si="47"/>
        <v/>
      </c>
      <c r="J93" s="90"/>
      <c r="K93" s="91">
        <f>86668</f>
        <v>86668</v>
      </c>
      <c r="L93" s="91">
        <f>85379</f>
        <v>85379</v>
      </c>
      <c r="M93" s="91">
        <f>85808+1200</f>
        <v>87008</v>
      </c>
      <c r="N93" s="91">
        <f>86238+1200</f>
        <v>87438</v>
      </c>
      <c r="O93" s="91">
        <f>86668+1100</f>
        <v>87768</v>
      </c>
      <c r="P93" s="92">
        <v>2.5</v>
      </c>
      <c r="Q93" s="93"/>
      <c r="R93" s="237">
        <v>250</v>
      </c>
      <c r="S93" s="237">
        <v>125</v>
      </c>
      <c r="T93" s="90"/>
      <c r="U93" s="52">
        <v>300</v>
      </c>
      <c r="V93" s="52">
        <v>100</v>
      </c>
      <c r="W93" s="152" t="s">
        <v>413</v>
      </c>
      <c r="X93" s="94" t="s">
        <v>416</v>
      </c>
    </row>
    <row r="94" spans="1:24" x14ac:dyDescent="0.25">
      <c r="A94" s="88">
        <v>104000</v>
      </c>
      <c r="B94" s="89" t="s">
        <v>261</v>
      </c>
      <c r="C94" s="18"/>
      <c r="D94" s="19" t="str">
        <f t="shared" si="66"/>
        <v/>
      </c>
      <c r="E94" s="19" t="str">
        <f t="shared" si="67"/>
        <v/>
      </c>
      <c r="F94" s="19" t="str">
        <f t="shared" si="68"/>
        <v/>
      </c>
      <c r="G94" s="19" t="str">
        <f t="shared" si="45"/>
        <v/>
      </c>
      <c r="H94" s="19" t="str">
        <f t="shared" si="46"/>
        <v/>
      </c>
      <c r="I94" s="19" t="str">
        <f t="shared" si="47"/>
        <v/>
      </c>
      <c r="J94" s="90"/>
      <c r="K94" s="91">
        <v>108635</v>
      </c>
      <c r="L94" s="91">
        <f>104000</f>
        <v>104000</v>
      </c>
      <c r="M94" s="91">
        <f>105545+1200</f>
        <v>106745</v>
      </c>
      <c r="N94" s="91">
        <f>107090+1200</f>
        <v>108290</v>
      </c>
      <c r="O94" s="91">
        <f>108635+1100</f>
        <v>109735</v>
      </c>
      <c r="P94" s="92">
        <v>2.5</v>
      </c>
      <c r="Q94" s="93"/>
      <c r="R94" s="237">
        <v>250</v>
      </c>
      <c r="S94" s="237">
        <v>125</v>
      </c>
      <c r="T94" s="90"/>
      <c r="U94" s="52">
        <v>200</v>
      </c>
      <c r="V94" s="52">
        <v>100</v>
      </c>
      <c r="W94" s="152" t="s">
        <v>260</v>
      </c>
      <c r="X94" s="94" t="s">
        <v>262</v>
      </c>
    </row>
    <row r="95" spans="1:24" x14ac:dyDescent="0.25">
      <c r="A95" s="96"/>
      <c r="B95" s="90"/>
      <c r="C95" s="192"/>
      <c r="D95" s="193"/>
      <c r="E95" s="193"/>
      <c r="F95" s="193"/>
      <c r="G95" s="193"/>
      <c r="H95" s="193"/>
      <c r="I95" s="193"/>
      <c r="J95" s="90"/>
      <c r="K95" s="97"/>
      <c r="L95" s="97"/>
      <c r="M95" s="97"/>
      <c r="N95" s="97"/>
      <c r="O95" s="97"/>
      <c r="P95" s="92"/>
      <c r="Q95" s="93"/>
      <c r="R95" s="93"/>
      <c r="S95" s="93"/>
      <c r="T95" s="90"/>
      <c r="U95" s="52"/>
      <c r="V95" s="52"/>
      <c r="W95" s="94"/>
      <c r="X95" s="94"/>
    </row>
    <row r="96" spans="1:24" s="2" customFormat="1" x14ac:dyDescent="0.25">
      <c r="A96" s="15" t="s">
        <v>0</v>
      </c>
      <c r="B96" s="14" t="s">
        <v>47</v>
      </c>
      <c r="C96" s="67" t="s">
        <v>80</v>
      </c>
      <c r="D96" s="15">
        <v>6</v>
      </c>
      <c r="E96" s="13">
        <v>12</v>
      </c>
      <c r="F96" s="13">
        <v>18</v>
      </c>
      <c r="G96" s="13">
        <v>24</v>
      </c>
      <c r="H96" s="13">
        <v>30</v>
      </c>
      <c r="I96" s="13">
        <v>36</v>
      </c>
      <c r="J96" s="1"/>
      <c r="K96" s="13" t="s">
        <v>2</v>
      </c>
      <c r="L96" s="13" t="s">
        <v>1</v>
      </c>
      <c r="M96" s="13" t="s">
        <v>3</v>
      </c>
      <c r="N96" s="13" t="s">
        <v>4</v>
      </c>
      <c r="O96" s="13" t="s">
        <v>5</v>
      </c>
      <c r="P96" s="261" t="s">
        <v>6</v>
      </c>
      <c r="Q96" s="262"/>
      <c r="R96" s="232">
        <v>6</v>
      </c>
      <c r="S96" s="232" t="s">
        <v>523</v>
      </c>
      <c r="T96" s="8"/>
      <c r="U96" s="259" t="s">
        <v>7</v>
      </c>
      <c r="V96" s="260"/>
      <c r="W96" s="57" t="s">
        <v>152</v>
      </c>
      <c r="X96" s="57"/>
    </row>
    <row r="97" spans="1:24" ht="15" customHeight="1" x14ac:dyDescent="0.25">
      <c r="A97" s="263" t="s">
        <v>26</v>
      </c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71"/>
      <c r="X97" s="71"/>
    </row>
    <row r="98" spans="1:24" ht="13.5" customHeight="1" x14ac:dyDescent="0.25">
      <c r="A98" s="120">
        <v>99800</v>
      </c>
      <c r="B98" s="27" t="s">
        <v>197</v>
      </c>
      <c r="C98" s="22"/>
      <c r="D98" s="23" t="str">
        <f>IF(C98&gt;=1,(K98-C98)*(1+P98*$D$4/100)/$D$4+Q98+R98,"")</f>
        <v/>
      </c>
      <c r="E98" s="23" t="str">
        <f>IF(C98&gt;=1,(K98-C98)*(1+P98*$E$4/100)/$E$4+Q98+S98,"")</f>
        <v/>
      </c>
      <c r="F98" s="23" t="str">
        <f>IF(C98&gt;=1,(K98-C98)*(1+$P98*$F$4/100)/$F$4+Q98+S98, "")</f>
        <v/>
      </c>
      <c r="G98" s="23" t="str">
        <f>IF(C98&gt;=1, (K98-C98)*(1+$P98*$G$4/100)/$G$4+Q98+S98,"")</f>
        <v/>
      </c>
      <c r="H98" s="23" t="str">
        <f>IF(C98&gt;=1, (K98-C98)*(1+$P98*$H$4/100)/$H$4+Q98+S98, "")</f>
        <v/>
      </c>
      <c r="I98" s="23" t="str">
        <f>IF(C98&gt;=1, (K98-C98)*(1+$P98*$I$4/100)/$I$4+Q98+S98, "")</f>
        <v/>
      </c>
      <c r="J98" s="121"/>
      <c r="K98" s="122">
        <v>102231</v>
      </c>
      <c r="L98" s="122">
        <v>99800</v>
      </c>
      <c r="M98" s="115">
        <f>100610+1200</f>
        <v>101810</v>
      </c>
      <c r="N98" s="115">
        <f>101420+1200</f>
        <v>102620</v>
      </c>
      <c r="O98" s="115">
        <f>102231+1100</f>
        <v>103331</v>
      </c>
      <c r="P98" s="123">
        <v>2.17</v>
      </c>
      <c r="Q98" s="124"/>
      <c r="R98" s="238">
        <v>250</v>
      </c>
      <c r="S98" s="238">
        <v>125</v>
      </c>
      <c r="T98" s="121"/>
      <c r="U98" s="125">
        <v>200</v>
      </c>
      <c r="V98" s="125">
        <v>100</v>
      </c>
      <c r="W98" s="127" t="s">
        <v>196</v>
      </c>
      <c r="X98" s="127"/>
    </row>
    <row r="99" spans="1:24" ht="13.5" customHeight="1" x14ac:dyDescent="0.25">
      <c r="A99" s="120">
        <v>118000</v>
      </c>
      <c r="B99" s="27" t="s">
        <v>109</v>
      </c>
      <c r="C99" s="22"/>
      <c r="D99" s="23" t="str">
        <f t="shared" ref="D99:D109" si="77">IF(C99&gt;=1,(K99-C99)*(1+P99*$D$4/100)/$D$4+Q99+R99,"")</f>
        <v/>
      </c>
      <c r="E99" s="23" t="str">
        <f t="shared" ref="E99:E109" si="78">IF(C99&gt;=1,(K99-C99)*(1+P99*$E$4/100)/$E$4+Q99+S99,"")</f>
        <v/>
      </c>
      <c r="F99" s="23" t="str">
        <f t="shared" ref="F99:F109" si="79">IF(C99&gt;=1,(K99-C99)*(1+$P99*$F$4/100)/$F$4+Q99+S99, "")</f>
        <v/>
      </c>
      <c r="G99" s="23" t="str">
        <f>IF(C99&gt;=1, (K99-C99)*(1+$P99*$G$4/100)/$G$4+Q99+S99,"")</f>
        <v/>
      </c>
      <c r="H99" s="23" t="str">
        <f>IF(C99&gt;=1, (K99-C99)*(1+$P99*$H$4/100)/$H$4+Q99+S99, "")</f>
        <v/>
      </c>
      <c r="I99" s="23" t="str">
        <f t="shared" ref="I99:I105" si="80">IF(C99&gt;=1, (K99-C99)*(1+$P99*$I$4/100)/$I$4+Q99+S99, "")</f>
        <v/>
      </c>
      <c r="J99" s="121"/>
      <c r="K99" s="122">
        <v>122294</v>
      </c>
      <c r="L99" s="122">
        <v>118000</v>
      </c>
      <c r="M99" s="115">
        <f>119431+1200</f>
        <v>120631</v>
      </c>
      <c r="N99" s="115">
        <f>120862+1200</f>
        <v>122062</v>
      </c>
      <c r="O99" s="115">
        <f>122294+1100</f>
        <v>123394</v>
      </c>
      <c r="P99" s="123">
        <v>2.17</v>
      </c>
      <c r="Q99" s="124"/>
      <c r="R99" s="238">
        <v>250</v>
      </c>
      <c r="S99" s="238">
        <v>125</v>
      </c>
      <c r="T99" s="121"/>
      <c r="U99" s="125">
        <v>200</v>
      </c>
      <c r="V99" s="125">
        <v>100</v>
      </c>
      <c r="W99" s="126"/>
      <c r="X99" s="126"/>
    </row>
    <row r="100" spans="1:24" ht="13.5" customHeight="1" x14ac:dyDescent="0.25">
      <c r="A100" s="120">
        <v>119000</v>
      </c>
      <c r="B100" s="27" t="s">
        <v>170</v>
      </c>
      <c r="C100" s="22"/>
      <c r="D100" s="23" t="str">
        <f t="shared" si="77"/>
        <v/>
      </c>
      <c r="E100" s="23" t="str">
        <f t="shared" si="78"/>
        <v/>
      </c>
      <c r="F100" s="23" t="str">
        <f t="shared" si="79"/>
        <v/>
      </c>
      <c r="G100" s="23" t="str">
        <f t="shared" ref="G100:G109" si="81">IF(C100&gt;=1, (K100-C100)*(1+$P100*$G$4/100)/$G$4+Q100+S100,"")</f>
        <v/>
      </c>
      <c r="H100" s="23" t="str">
        <f t="shared" ref="H100:H105" si="82">IF(C100&gt;=1, (K100-C100)*(1+$P100*$H$4/100)/$H$4+Q100+S100, "")</f>
        <v/>
      </c>
      <c r="I100" s="23" t="str">
        <f t="shared" si="80"/>
        <v/>
      </c>
      <c r="J100" s="121"/>
      <c r="K100" s="122">
        <v>123294</v>
      </c>
      <c r="L100" s="122">
        <v>119000</v>
      </c>
      <c r="M100" s="115">
        <f>121391+240</f>
        <v>121631</v>
      </c>
      <c r="N100" s="115">
        <f>122822+240</f>
        <v>123062</v>
      </c>
      <c r="O100" s="115">
        <f>124154+240</f>
        <v>124394</v>
      </c>
      <c r="P100" s="123">
        <v>2.17</v>
      </c>
      <c r="Q100" s="124"/>
      <c r="R100" s="238">
        <v>250</v>
      </c>
      <c r="S100" s="238">
        <v>125</v>
      </c>
      <c r="T100" s="121"/>
      <c r="U100" s="125">
        <v>200</v>
      </c>
      <c r="V100" s="125">
        <v>100</v>
      </c>
      <c r="W100" s="127" t="s">
        <v>171</v>
      </c>
      <c r="X100" s="127"/>
    </row>
    <row r="101" spans="1:24" ht="13.5" customHeight="1" x14ac:dyDescent="0.25">
      <c r="A101" s="120">
        <v>109000</v>
      </c>
      <c r="B101" s="27" t="s">
        <v>239</v>
      </c>
      <c r="C101" s="22"/>
      <c r="D101" s="23" t="str">
        <f t="shared" si="77"/>
        <v/>
      </c>
      <c r="E101" s="23" t="str">
        <f t="shared" si="78"/>
        <v/>
      </c>
      <c r="F101" s="23" t="str">
        <f t="shared" si="79"/>
        <v/>
      </c>
      <c r="G101" s="23" t="str">
        <f t="shared" si="81"/>
        <v/>
      </c>
      <c r="H101" s="23" t="str">
        <f t="shared" si="82"/>
        <v/>
      </c>
      <c r="I101" s="23" t="str">
        <f t="shared" si="80"/>
        <v/>
      </c>
      <c r="J101" s="121"/>
      <c r="K101" s="122">
        <v>113294</v>
      </c>
      <c r="L101" s="122">
        <v>109000</v>
      </c>
      <c r="M101" s="115">
        <f>110431+1200</f>
        <v>111631</v>
      </c>
      <c r="N101" s="115">
        <f>111862+1200</f>
        <v>113062</v>
      </c>
      <c r="O101" s="115">
        <f>113294+1100</f>
        <v>114394</v>
      </c>
      <c r="P101" s="123">
        <v>2.17</v>
      </c>
      <c r="Q101" s="124"/>
      <c r="R101" s="238">
        <v>250</v>
      </c>
      <c r="S101" s="238">
        <v>125</v>
      </c>
      <c r="T101" s="121"/>
      <c r="U101" s="125">
        <v>200</v>
      </c>
      <c r="V101" s="125">
        <v>100</v>
      </c>
      <c r="W101" s="127" t="s">
        <v>240</v>
      </c>
      <c r="X101" s="127" t="s">
        <v>241</v>
      </c>
    </row>
    <row r="102" spans="1:24" ht="13.5" customHeight="1" x14ac:dyDescent="0.25">
      <c r="A102" s="120">
        <v>119900</v>
      </c>
      <c r="B102" s="129" t="s">
        <v>297</v>
      </c>
      <c r="C102" s="22"/>
      <c r="D102" s="23" t="str">
        <f t="shared" si="77"/>
        <v/>
      </c>
      <c r="E102" s="23" t="str">
        <f t="shared" si="78"/>
        <v/>
      </c>
      <c r="F102" s="23" t="str">
        <f t="shared" si="79"/>
        <v/>
      </c>
      <c r="G102" s="23" t="str">
        <f t="shared" si="81"/>
        <v/>
      </c>
      <c r="H102" s="23" t="str">
        <f t="shared" si="82"/>
        <v/>
      </c>
      <c r="I102" s="23" t="str">
        <f t="shared" si="80"/>
        <v/>
      </c>
      <c r="J102" s="121"/>
      <c r="K102" s="122">
        <v>124194</v>
      </c>
      <c r="L102" s="122">
        <v>119900</v>
      </c>
      <c r="M102" s="115">
        <f>121331+1200</f>
        <v>122531</v>
      </c>
      <c r="N102" s="115">
        <f>122762+1200</f>
        <v>123962</v>
      </c>
      <c r="O102" s="115">
        <f>124194+1100</f>
        <v>125294</v>
      </c>
      <c r="P102" s="123">
        <v>2.17</v>
      </c>
      <c r="Q102" s="124"/>
      <c r="R102" s="238">
        <v>250</v>
      </c>
      <c r="S102" s="238">
        <v>125</v>
      </c>
      <c r="T102" s="121"/>
      <c r="U102" s="125">
        <v>200</v>
      </c>
      <c r="V102" s="125">
        <v>100</v>
      </c>
      <c r="W102" s="127" t="s">
        <v>293</v>
      </c>
      <c r="X102" s="127" t="s">
        <v>298</v>
      </c>
    </row>
    <row r="103" spans="1:24" ht="13.5" customHeight="1" x14ac:dyDescent="0.25">
      <c r="A103" s="120">
        <v>134500</v>
      </c>
      <c r="B103" s="129" t="s">
        <v>257</v>
      </c>
      <c r="C103" s="22"/>
      <c r="D103" s="23" t="str">
        <f t="shared" si="77"/>
        <v/>
      </c>
      <c r="E103" s="23" t="str">
        <f t="shared" si="78"/>
        <v/>
      </c>
      <c r="F103" s="23" t="str">
        <f t="shared" si="79"/>
        <v/>
      </c>
      <c r="G103" s="23" t="str">
        <f t="shared" si="81"/>
        <v/>
      </c>
      <c r="H103" s="23" t="str">
        <f t="shared" si="82"/>
        <v/>
      </c>
      <c r="I103" s="23" t="str">
        <f t="shared" si="80"/>
        <v/>
      </c>
      <c r="J103" s="121"/>
      <c r="K103" s="122">
        <v>137690</v>
      </c>
      <c r="L103" s="122">
        <v>134500</v>
      </c>
      <c r="M103" s="115">
        <f>135563+1200</f>
        <v>136763</v>
      </c>
      <c r="N103" s="115">
        <f>136626+1200</f>
        <v>137826</v>
      </c>
      <c r="O103" s="115">
        <f>137690+1100</f>
        <v>138790</v>
      </c>
      <c r="P103" s="123">
        <v>2.17</v>
      </c>
      <c r="Q103" s="124"/>
      <c r="R103" s="238">
        <v>250</v>
      </c>
      <c r="S103" s="238">
        <v>125</v>
      </c>
      <c r="T103" s="121"/>
      <c r="U103" s="125">
        <v>200</v>
      </c>
      <c r="V103" s="125">
        <v>100</v>
      </c>
      <c r="W103" s="127" t="s">
        <v>258</v>
      </c>
      <c r="X103" s="127" t="s">
        <v>259</v>
      </c>
    </row>
    <row r="104" spans="1:24" ht="13.5" customHeight="1" x14ac:dyDescent="0.25">
      <c r="A104" s="120">
        <v>144500</v>
      </c>
      <c r="B104" s="129" t="s">
        <v>299</v>
      </c>
      <c r="C104" s="22"/>
      <c r="D104" s="23" t="str">
        <f t="shared" si="77"/>
        <v/>
      </c>
      <c r="E104" s="23" t="str">
        <f t="shared" si="78"/>
        <v/>
      </c>
      <c r="F104" s="23" t="str">
        <f t="shared" si="79"/>
        <v/>
      </c>
      <c r="G104" s="23" t="str">
        <f t="shared" si="81"/>
        <v/>
      </c>
      <c r="H104" s="23" t="str">
        <f t="shared" si="82"/>
        <v/>
      </c>
      <c r="I104" s="23" t="str">
        <f t="shared" si="80"/>
        <v/>
      </c>
      <c r="J104" s="121"/>
      <c r="K104" s="122">
        <v>147690</v>
      </c>
      <c r="L104" s="122">
        <v>144500</v>
      </c>
      <c r="M104" s="115">
        <f>145563+1200</f>
        <v>146763</v>
      </c>
      <c r="N104" s="115">
        <f>146626+1200</f>
        <v>147826</v>
      </c>
      <c r="O104" s="115">
        <f>147690+1100</f>
        <v>148790</v>
      </c>
      <c r="P104" s="123">
        <v>2.17</v>
      </c>
      <c r="Q104" s="124"/>
      <c r="R104" s="238">
        <v>250</v>
      </c>
      <c r="S104" s="238">
        <v>125</v>
      </c>
      <c r="T104" s="121"/>
      <c r="U104" s="125">
        <v>200</v>
      </c>
      <c r="V104" s="125">
        <v>100</v>
      </c>
      <c r="W104" s="127" t="s">
        <v>300</v>
      </c>
      <c r="X104" s="127" t="s">
        <v>301</v>
      </c>
    </row>
    <row r="105" spans="1:24" ht="13.5" customHeight="1" x14ac:dyDescent="0.25">
      <c r="A105" s="120">
        <v>153900</v>
      </c>
      <c r="B105" s="129" t="s">
        <v>512</v>
      </c>
      <c r="C105" s="22"/>
      <c r="D105" s="23" t="str">
        <f t="shared" si="77"/>
        <v/>
      </c>
      <c r="E105" s="23" t="str">
        <f t="shared" si="78"/>
        <v/>
      </c>
      <c r="F105" s="23" t="str">
        <f t="shared" si="79"/>
        <v/>
      </c>
      <c r="G105" s="23" t="str">
        <f t="shared" si="81"/>
        <v/>
      </c>
      <c r="H105" s="23" t="str">
        <f t="shared" si="82"/>
        <v/>
      </c>
      <c r="I105" s="23" t="str">
        <f t="shared" si="80"/>
        <v/>
      </c>
      <c r="J105" s="121"/>
      <c r="K105" s="122">
        <f>157090</f>
        <v>157090</v>
      </c>
      <c r="L105" s="122">
        <f>153900</f>
        <v>153900</v>
      </c>
      <c r="M105" s="115">
        <f>154963+1200</f>
        <v>156163</v>
      </c>
      <c r="N105" s="115">
        <f>156026+1200</f>
        <v>157226</v>
      </c>
      <c r="O105" s="115">
        <f>157090+1100</f>
        <v>158190</v>
      </c>
      <c r="P105" s="123">
        <v>2.17</v>
      </c>
      <c r="Q105" s="124"/>
      <c r="R105" s="238">
        <v>250</v>
      </c>
      <c r="S105" s="238">
        <v>125</v>
      </c>
      <c r="T105" s="121"/>
      <c r="U105" s="125">
        <v>200</v>
      </c>
      <c r="V105" s="125">
        <v>100</v>
      </c>
      <c r="W105" s="127" t="s">
        <v>536</v>
      </c>
      <c r="X105" s="127" t="s">
        <v>540</v>
      </c>
    </row>
    <row r="106" spans="1:24" ht="13.5" customHeight="1" x14ac:dyDescent="0.25">
      <c r="A106" s="120">
        <v>151900</v>
      </c>
      <c r="B106" s="129" t="s">
        <v>538</v>
      </c>
      <c r="C106" s="22"/>
      <c r="D106" s="23" t="str">
        <f t="shared" ref="D106:D107" si="83">IF(C106&gt;=1,(K106-C106)*(1+P106*$D$4/100)/$D$4+Q106+R106,"")</f>
        <v/>
      </c>
      <c r="E106" s="23" t="str">
        <f t="shared" ref="E106:E107" si="84">IF(C106&gt;=1,(K106-C106)*(1+P106*$E$4/100)/$E$4+Q106+S106,"")</f>
        <v/>
      </c>
      <c r="F106" s="23" t="str">
        <f t="shared" ref="F106:F107" si="85">IF(C106&gt;=1,(K106-C106)*(1+$P106*$F$4/100)/$F$4+Q106+S106, "")</f>
        <v/>
      </c>
      <c r="G106" s="23" t="str">
        <f t="shared" ref="G106:G107" si="86">IF(C106&gt;=1, (K106-C106)*(1+$P106*$G$4/100)/$G$4+Q106+S106,"")</f>
        <v/>
      </c>
      <c r="H106" s="23" t="str">
        <f t="shared" ref="H106:H107" si="87">IF(C106&gt;=1, (K106-C106)*(1+$P106*$H$4/100)/$H$4+Q106+S106, "")</f>
        <v/>
      </c>
      <c r="I106" s="23" t="str">
        <f t="shared" ref="I106:I107" si="88">IF(C106&gt;=1, (K106-C106)*(1+$P106*$I$4/100)/$I$4+Q106+S106, "")</f>
        <v/>
      </c>
      <c r="J106" s="121"/>
      <c r="K106" s="122">
        <f>155147</f>
        <v>155147</v>
      </c>
      <c r="L106" s="122">
        <f>151900</f>
        <v>151900</v>
      </c>
      <c r="M106" s="115">
        <f>152982+1200</f>
        <v>154182</v>
      </c>
      <c r="N106" s="115">
        <f>154064+1200</f>
        <v>155264</v>
      </c>
      <c r="O106" s="115">
        <f>155147+1100</f>
        <v>156247</v>
      </c>
      <c r="P106" s="123">
        <v>2.17</v>
      </c>
      <c r="Q106" s="124"/>
      <c r="R106" s="238">
        <v>250</v>
      </c>
      <c r="S106" s="238">
        <v>125</v>
      </c>
      <c r="T106" s="121"/>
      <c r="U106" s="125">
        <v>200</v>
      </c>
      <c r="V106" s="125">
        <v>100</v>
      </c>
      <c r="W106" s="127" t="s">
        <v>536</v>
      </c>
      <c r="X106" s="127" t="s">
        <v>539</v>
      </c>
    </row>
    <row r="107" spans="1:24" ht="13.5" customHeight="1" x14ac:dyDescent="0.25">
      <c r="A107" s="120">
        <v>175900</v>
      </c>
      <c r="B107" s="129" t="s">
        <v>646</v>
      </c>
      <c r="C107" s="22">
        <v>80000</v>
      </c>
      <c r="D107" s="23">
        <f t="shared" si="83"/>
        <v>18848.382833333333</v>
      </c>
      <c r="E107" s="23">
        <f t="shared" si="84"/>
        <v>10495.466166666667</v>
      </c>
      <c r="F107" s="23">
        <f t="shared" si="85"/>
        <v>7752.8272777777784</v>
      </c>
      <c r="G107" s="23">
        <f t="shared" si="86"/>
        <v>6381.5078333333331</v>
      </c>
      <c r="H107" s="23">
        <f t="shared" si="87"/>
        <v>5558.7161666666661</v>
      </c>
      <c r="I107" s="23">
        <f t="shared" si="88"/>
        <v>5010.1883888888888</v>
      </c>
      <c r="J107" s="121"/>
      <c r="K107" s="122">
        <f>178735</f>
        <v>178735</v>
      </c>
      <c r="L107" s="122">
        <f>175900</f>
        <v>175900</v>
      </c>
      <c r="M107" s="115">
        <f>176845+1200</f>
        <v>178045</v>
      </c>
      <c r="N107" s="115">
        <f>177790+1200</f>
        <v>178990</v>
      </c>
      <c r="O107" s="115">
        <f>178735+1100</f>
        <v>179835</v>
      </c>
      <c r="P107" s="123">
        <v>2.17</v>
      </c>
      <c r="Q107" s="124"/>
      <c r="R107" s="238">
        <v>250</v>
      </c>
      <c r="S107" s="238">
        <v>125</v>
      </c>
      <c r="T107" s="121"/>
      <c r="U107" s="125">
        <v>200</v>
      </c>
      <c r="V107" s="125">
        <v>100</v>
      </c>
      <c r="W107" s="127" t="s">
        <v>641</v>
      </c>
      <c r="X107" s="127" t="s">
        <v>644</v>
      </c>
    </row>
    <row r="108" spans="1:24" ht="13.5" customHeight="1" x14ac:dyDescent="0.25">
      <c r="A108" s="120">
        <v>155900</v>
      </c>
      <c r="B108" s="129" t="s">
        <v>647</v>
      </c>
      <c r="C108" s="22">
        <v>80000</v>
      </c>
      <c r="D108" s="23">
        <f t="shared" ref="D108" si="89">IF(C108&gt;=1,(K108-C108)*(1+P108*$D$4/100)/$D$4+Q108+R108,"")</f>
        <v>15147.919666666667</v>
      </c>
      <c r="E108" s="23">
        <f t="shared" ref="E108" si="90">IF(C108&gt;=1,(K108-C108)*(1+P108*$E$4/100)/$E$4+Q108+S108,"")</f>
        <v>8432.0863333333327</v>
      </c>
      <c r="F108" s="23">
        <f t="shared" ref="F108" si="91">IF(C108&gt;=1,(K108-C108)*(1+$P108*$F$4/100)/$F$4+Q108+S108, "")</f>
        <v>6235.1418888888893</v>
      </c>
      <c r="G108" s="23">
        <f t="shared" ref="G108" si="92">IF(C108&gt;=1, (K108-C108)*(1+$P108*$G$4/100)/$G$4+Q108+S108,"")</f>
        <v>5136.6696666666667</v>
      </c>
      <c r="H108" s="23">
        <f t="shared" ref="H108" si="93">IF(C108&gt;=1, (K108-C108)*(1+$P108*$H$4/100)/$H$4+Q108+S108, "")</f>
        <v>4477.5863333333327</v>
      </c>
      <c r="I108" s="23">
        <f t="shared" ref="I108" si="94">IF(C108&gt;=1, (K108-C108)*(1+$P108*$I$4/100)/$I$4+Q108+S108, "")</f>
        <v>4038.1974444444445</v>
      </c>
      <c r="J108" s="121"/>
      <c r="K108" s="122">
        <f>159090</f>
        <v>159090</v>
      </c>
      <c r="L108" s="122">
        <f>155900</f>
        <v>155900</v>
      </c>
      <c r="M108" s="115">
        <f>156963+1200</f>
        <v>158163</v>
      </c>
      <c r="N108" s="115">
        <f>158026+1200</f>
        <v>159226</v>
      </c>
      <c r="O108" s="115">
        <f>159090+1100</f>
        <v>160190</v>
      </c>
      <c r="P108" s="123">
        <v>2.17</v>
      </c>
      <c r="Q108" s="124"/>
      <c r="R108" s="238">
        <v>250</v>
      </c>
      <c r="S108" s="238">
        <v>125</v>
      </c>
      <c r="T108" s="121"/>
      <c r="U108" s="125">
        <v>200</v>
      </c>
      <c r="V108" s="125">
        <v>100</v>
      </c>
      <c r="W108" s="127" t="s">
        <v>641</v>
      </c>
      <c r="X108" s="127" t="s">
        <v>645</v>
      </c>
    </row>
    <row r="109" spans="1:24" ht="13.5" customHeight="1" x14ac:dyDescent="0.25">
      <c r="A109" s="120">
        <v>249000</v>
      </c>
      <c r="B109" s="129" t="s">
        <v>320</v>
      </c>
      <c r="C109" s="22"/>
      <c r="D109" s="23" t="str">
        <f t="shared" si="77"/>
        <v/>
      </c>
      <c r="E109" s="23" t="str">
        <f t="shared" si="78"/>
        <v/>
      </c>
      <c r="F109" s="23" t="str">
        <f t="shared" si="79"/>
        <v/>
      </c>
      <c r="G109" s="23" t="str">
        <f t="shared" si="81"/>
        <v/>
      </c>
      <c r="H109" s="231"/>
      <c r="I109" s="231"/>
      <c r="J109" s="121"/>
      <c r="K109" s="122">
        <v>255273</v>
      </c>
      <c r="L109" s="122">
        <v>249000</v>
      </c>
      <c r="M109" s="115">
        <f>251091+1200</f>
        <v>252291</v>
      </c>
      <c r="N109" s="115">
        <f>253182+1200</f>
        <v>254382</v>
      </c>
      <c r="O109" s="115">
        <f>255273+1100</f>
        <v>256373</v>
      </c>
      <c r="P109" s="123">
        <v>2.17</v>
      </c>
      <c r="Q109" s="124"/>
      <c r="R109" s="238">
        <v>250</v>
      </c>
      <c r="S109" s="238">
        <v>125</v>
      </c>
      <c r="T109" s="121"/>
      <c r="U109" s="125">
        <v>200</v>
      </c>
      <c r="V109" s="125">
        <v>100</v>
      </c>
      <c r="W109" s="127" t="s">
        <v>321</v>
      </c>
      <c r="X109" s="126" t="s">
        <v>322</v>
      </c>
    </row>
    <row r="110" spans="1:24" ht="13.5" customHeight="1" x14ac:dyDescent="0.25">
      <c r="A110" s="277">
        <v>299500</v>
      </c>
      <c r="B110" s="129" t="s">
        <v>365</v>
      </c>
      <c r="C110" s="282"/>
      <c r="D110" s="284" t="str">
        <f>IF(C110&gt;=1,(K110-C110)*(1+P110*$D$4/100)/$D$4+Q110+R110,"")</f>
        <v/>
      </c>
      <c r="E110" s="284" t="str">
        <f>IF(C110&gt;=1,(K110-C110)*(1+P110*$E$4/100)/$E$4+Q110+S110,"")</f>
        <v/>
      </c>
      <c r="F110" s="284" t="str">
        <f>IF(C110&gt;=1,(K110-C110)*(1+$P110*$F$4/100)/$F$4+Q110+S110, "")</f>
        <v/>
      </c>
      <c r="G110" s="284" t="str">
        <f>IF(C110&gt;=1, (K110-C110)*(1+$P110*$G$4/100)/$G$4+Q110+S110,"")</f>
        <v/>
      </c>
      <c r="H110" s="292"/>
      <c r="I110" s="292"/>
      <c r="J110" s="121"/>
      <c r="K110" s="288">
        <v>301921</v>
      </c>
      <c r="L110" s="288">
        <v>299500</v>
      </c>
      <c r="M110" s="290">
        <f>300307+1200</f>
        <v>301507</v>
      </c>
      <c r="N110" s="290">
        <f>301114+1200</f>
        <v>302314</v>
      </c>
      <c r="O110" s="290">
        <f>301921+1100</f>
        <v>303021</v>
      </c>
      <c r="P110" s="294">
        <v>2.17</v>
      </c>
      <c r="Q110" s="124"/>
      <c r="R110" s="296">
        <v>250</v>
      </c>
      <c r="S110" s="296">
        <v>125</v>
      </c>
      <c r="T110" s="121"/>
      <c r="U110" s="295">
        <v>350</v>
      </c>
      <c r="V110" s="295">
        <v>100</v>
      </c>
      <c r="W110" s="286" t="s">
        <v>467</v>
      </c>
      <c r="X110" s="287" t="s">
        <v>468</v>
      </c>
    </row>
    <row r="111" spans="1:24" ht="13.5" customHeight="1" x14ac:dyDescent="0.25">
      <c r="A111" s="278"/>
      <c r="B111" s="129" t="s">
        <v>491</v>
      </c>
      <c r="C111" s="283"/>
      <c r="D111" s="285"/>
      <c r="E111" s="285"/>
      <c r="F111" s="285"/>
      <c r="G111" s="285"/>
      <c r="H111" s="293"/>
      <c r="I111" s="293"/>
      <c r="J111" s="121"/>
      <c r="K111" s="289"/>
      <c r="L111" s="289"/>
      <c r="M111" s="291"/>
      <c r="N111" s="291"/>
      <c r="O111" s="291"/>
      <c r="P111" s="294"/>
      <c r="Q111" s="124"/>
      <c r="R111" s="296"/>
      <c r="S111" s="296"/>
      <c r="T111" s="121"/>
      <c r="U111" s="295"/>
      <c r="V111" s="295"/>
      <c r="W111" s="286"/>
      <c r="X111" s="287"/>
    </row>
    <row r="112" spans="1:24" ht="13.5" customHeight="1" x14ac:dyDescent="0.25">
      <c r="A112" s="245">
        <v>306000</v>
      </c>
      <c r="B112" s="129" t="s">
        <v>574</v>
      </c>
      <c r="C112" s="216"/>
      <c r="D112" s="244" t="str">
        <f>IF(C112&gt;=1,(K112-C112)*(1+P112*$D$4/100)/$D$4+Q112+R112,"")</f>
        <v/>
      </c>
      <c r="E112" s="244" t="str">
        <f>IF(C112&gt;=1,(K112-C112)*(1+P112*$E$4/100)/$E$4+Q112+S112,"")</f>
        <v/>
      </c>
      <c r="F112" s="244" t="str">
        <f>IF(C112&gt;=1,(K112-C112)*(1+$P112*$F$4/100)/$F$4+Q112+S112, "")</f>
        <v/>
      </c>
      <c r="G112" s="244" t="str">
        <f>IF(C112&gt;=1, (K112-C112)*(1+$P112*$G$4/100)/$G$4+Q112+S112,"")</f>
        <v/>
      </c>
      <c r="H112" s="242"/>
      <c r="I112" s="242"/>
      <c r="J112" s="121"/>
      <c r="K112" s="246">
        <v>308421</v>
      </c>
      <c r="L112" s="246">
        <v>306000</v>
      </c>
      <c r="M112" s="247">
        <f>306807+1200</f>
        <v>308007</v>
      </c>
      <c r="N112" s="247">
        <f>307614+1200</f>
        <v>308814</v>
      </c>
      <c r="O112" s="247">
        <f>308421+1100</f>
        <v>309521</v>
      </c>
      <c r="P112" s="243">
        <v>2.17</v>
      </c>
      <c r="Q112" s="124"/>
      <c r="R112" s="248">
        <v>250</v>
      </c>
      <c r="S112" s="238">
        <v>125</v>
      </c>
      <c r="T112" s="121"/>
      <c r="U112" s="121">
        <v>350</v>
      </c>
      <c r="V112" s="121">
        <v>100</v>
      </c>
      <c r="W112" s="127" t="s">
        <v>572</v>
      </c>
      <c r="X112" s="126" t="s">
        <v>575</v>
      </c>
    </row>
    <row r="113" spans="1:26" ht="13.5" customHeight="1" x14ac:dyDescent="0.25">
      <c r="A113" s="245">
        <v>311000</v>
      </c>
      <c r="B113" s="129" t="s">
        <v>665</v>
      </c>
      <c r="C113" s="216">
        <v>20000</v>
      </c>
      <c r="D113" s="244">
        <f>IF(C113&gt;=1,(K113-C113)*(1+P113*$D$4/100)/$D$4+Q113+R113,"")</f>
        <v>55520.73569999999</v>
      </c>
      <c r="E113" s="244">
        <f>IF(C113&gt;=1,(K113-C113)*(1+P113*$E$4/100)/$E$4+Q113+S113,"")</f>
        <v>30943.985700000001</v>
      </c>
      <c r="F113" s="244">
        <f>IF(C113&gt;=1,(K113-C113)*(1+$P113*$F$4/100)/$F$4+Q113+S113, "")</f>
        <v>22793.402366666665</v>
      </c>
      <c r="G113" s="244">
        <f>IF(C113&gt;=1, (K113-C113)*(1+$P113*$G$4/100)/$G$4+Q113+S113,"")</f>
        <v>18718.110700000001</v>
      </c>
      <c r="H113" s="242"/>
      <c r="I113" s="242"/>
      <c r="J113" s="121"/>
      <c r="K113" s="246">
        <f>313421</f>
        <v>313421</v>
      </c>
      <c r="L113" s="246">
        <v>311000</v>
      </c>
      <c r="M113" s="247">
        <f>311807+1200</f>
        <v>313007</v>
      </c>
      <c r="N113" s="247">
        <f>312614+1200</f>
        <v>313814</v>
      </c>
      <c r="O113" s="247">
        <f>313421+1100</f>
        <v>314521</v>
      </c>
      <c r="P113" s="243">
        <v>2.17</v>
      </c>
      <c r="Q113" s="124"/>
      <c r="R113" s="248">
        <v>250</v>
      </c>
      <c r="S113" s="238">
        <v>125</v>
      </c>
      <c r="T113" s="121"/>
      <c r="U113" s="121">
        <v>350</v>
      </c>
      <c r="V113" s="121">
        <v>100</v>
      </c>
      <c r="W113" s="127" t="s">
        <v>667</v>
      </c>
      <c r="X113" s="126" t="s">
        <v>666</v>
      </c>
    </row>
    <row r="114" spans="1:26" s="128" customFormat="1" x14ac:dyDescent="0.25">
      <c r="A114" s="120">
        <v>71900</v>
      </c>
      <c r="B114" s="129" t="s">
        <v>302</v>
      </c>
      <c r="C114" s="22"/>
      <c r="D114" s="23" t="str">
        <f>IF(C114&gt;=1,(K114-C114)*(1+P114*$D$4/100)/$D$4+Q114+R114,"")</f>
        <v/>
      </c>
      <c r="E114" s="23" t="str">
        <f>IF(C114&gt;=1,(K114-C114)*(1+P114*$E$4/100)/$E$4+Q114+S114,"")</f>
        <v/>
      </c>
      <c r="F114" s="23" t="str">
        <f>IF(C114&gt;=1,(K114-C114)*(1+$P114*$F$4/100)/$F$4+Q114+S114, "")</f>
        <v/>
      </c>
      <c r="G114" s="23" t="str">
        <f>IF(C114&gt;=1, (K114-C114)*(1+$P114*$G$4/100)/$G$4+Q114+S114,"")</f>
        <v/>
      </c>
      <c r="H114" s="23" t="str">
        <f>IF(C114&gt;=1, (K114-C114)*(1+$P114*$H$4/100)/$H$4+Q114+S114, "")</f>
        <v/>
      </c>
      <c r="I114" s="23" t="str">
        <f>IF(C114&gt;=1, (K114-C114)*(1+$P114*$I$4/100)/$I$4+Q114+S114, "")</f>
        <v/>
      </c>
      <c r="J114" s="121"/>
      <c r="K114" s="122">
        <v>73977</v>
      </c>
      <c r="L114" s="122">
        <v>72619</v>
      </c>
      <c r="M114" s="115">
        <f>73071+1200</f>
        <v>74271</v>
      </c>
      <c r="N114" s="115">
        <f>73524+1200</f>
        <v>74724</v>
      </c>
      <c r="O114" s="115">
        <f>73977+1100</f>
        <v>75077</v>
      </c>
      <c r="P114" s="123">
        <v>2.17</v>
      </c>
      <c r="Q114" s="124"/>
      <c r="R114" s="238">
        <v>250</v>
      </c>
      <c r="S114" s="238">
        <v>125</v>
      </c>
      <c r="T114" s="121"/>
      <c r="U114" s="125">
        <v>200</v>
      </c>
      <c r="V114" s="125">
        <v>50</v>
      </c>
      <c r="W114" s="126"/>
      <c r="X114" s="126">
        <v>43973</v>
      </c>
    </row>
    <row r="115" spans="1:26" s="128" customFormat="1" x14ac:dyDescent="0.25">
      <c r="A115" s="120">
        <v>77900</v>
      </c>
      <c r="B115" s="129" t="s">
        <v>401</v>
      </c>
      <c r="C115" s="22"/>
      <c r="D115" s="23" t="str">
        <f t="shared" ref="D115:D192" si="95">IF(C115&gt;=1,(K115-C115)*(1+P115*$D$4/100)/$D$4+Q115+R115,"")</f>
        <v/>
      </c>
      <c r="E115" s="23" t="str">
        <f t="shared" ref="E115:E140" si="96">IF(C115&gt;=1,(K115-C115)*(1+P115*$E$4/100)/$E$4+Q115+S115,"")</f>
        <v/>
      </c>
      <c r="F115" s="23" t="str">
        <f t="shared" ref="F115:F117" si="97">IF(C115&gt;=1,(K115-C115)*(1+$P115*$F$4/100)/$F$4+Q115+S115, "")</f>
        <v/>
      </c>
      <c r="G115" s="23" t="str">
        <f>IF(C115&gt;=1, (K115-C115)*(1+$P115*$G$4/100)/$G$4+Q115+S115,"")</f>
        <v/>
      </c>
      <c r="H115" s="23" t="str">
        <f t="shared" ref="H115:H192" si="98">IF(C115&gt;=1, (K115-C115)*(1+$P115*$H$4/100)/$H$4+Q115+S115, "")</f>
        <v/>
      </c>
      <c r="I115" s="23" t="str">
        <f t="shared" ref="I115:I192" si="99">IF(C115&gt;=1, (K115-C115)*(1+$P115*$I$4/100)/$I$4+Q115+S115, "")</f>
        <v/>
      </c>
      <c r="J115" s="121"/>
      <c r="K115" s="122">
        <f>79977</f>
        <v>79977</v>
      </c>
      <c r="L115" s="122">
        <f>78619</f>
        <v>78619</v>
      </c>
      <c r="M115" s="115">
        <f>79071+1200</f>
        <v>80271</v>
      </c>
      <c r="N115" s="115">
        <f>79524+1200</f>
        <v>80724</v>
      </c>
      <c r="O115" s="115">
        <f>79977+1100</f>
        <v>81077</v>
      </c>
      <c r="P115" s="123">
        <v>2.17</v>
      </c>
      <c r="Q115" s="124"/>
      <c r="R115" s="238">
        <v>250</v>
      </c>
      <c r="S115" s="238">
        <v>125</v>
      </c>
      <c r="T115" s="121"/>
      <c r="U115" s="125">
        <v>200</v>
      </c>
      <c r="V115" s="125">
        <v>100</v>
      </c>
      <c r="W115" s="126">
        <v>44939</v>
      </c>
      <c r="X115" s="126" t="s">
        <v>445</v>
      </c>
    </row>
    <row r="116" spans="1:26" s="128" customFormat="1" x14ac:dyDescent="0.25">
      <c r="A116" s="120">
        <v>82900</v>
      </c>
      <c r="B116" s="129" t="s">
        <v>470</v>
      </c>
      <c r="C116" s="22"/>
      <c r="D116" s="23" t="str">
        <f t="shared" si="95"/>
        <v/>
      </c>
      <c r="E116" s="23" t="str">
        <f t="shared" si="96"/>
        <v/>
      </c>
      <c r="F116" s="23" t="str">
        <f t="shared" si="97"/>
        <v/>
      </c>
      <c r="G116" s="23" t="str">
        <f t="shared" ref="G116:G193" si="100">IF(C116&gt;=1, (K116-C116)*(1+$P116*$G$4/100)/$G$4+Q116+S116,"")</f>
        <v/>
      </c>
      <c r="H116" s="23" t="str">
        <f t="shared" si="98"/>
        <v/>
      </c>
      <c r="I116" s="23" t="str">
        <f t="shared" si="99"/>
        <v/>
      </c>
      <c r="J116" s="121"/>
      <c r="K116" s="122">
        <f>84141</f>
        <v>84141</v>
      </c>
      <c r="L116" s="122">
        <f>82900</f>
        <v>82900</v>
      </c>
      <c r="M116" s="115">
        <f>83313+1200</f>
        <v>84513</v>
      </c>
      <c r="N116" s="115">
        <f>83727+1200</f>
        <v>84927</v>
      </c>
      <c r="O116" s="115">
        <f>84141+1100</f>
        <v>85241</v>
      </c>
      <c r="P116" s="123">
        <v>2.17</v>
      </c>
      <c r="Q116" s="124"/>
      <c r="R116" s="238">
        <v>250</v>
      </c>
      <c r="S116" s="238">
        <v>125</v>
      </c>
      <c r="T116" s="121"/>
      <c r="U116" s="125">
        <v>200</v>
      </c>
      <c r="V116" s="125">
        <v>100</v>
      </c>
      <c r="W116" s="126">
        <v>45008</v>
      </c>
      <c r="X116" s="126" t="s">
        <v>471</v>
      </c>
    </row>
    <row r="117" spans="1:26" x14ac:dyDescent="0.25">
      <c r="A117" s="120">
        <v>83900</v>
      </c>
      <c r="B117" s="129" t="s">
        <v>307</v>
      </c>
      <c r="C117" s="22"/>
      <c r="D117" s="23" t="str">
        <f t="shared" si="95"/>
        <v/>
      </c>
      <c r="E117" s="23" t="str">
        <f t="shared" si="96"/>
        <v/>
      </c>
      <c r="F117" s="23" t="str">
        <f t="shared" si="97"/>
        <v/>
      </c>
      <c r="G117" s="23" t="str">
        <f t="shared" si="100"/>
        <v/>
      </c>
      <c r="H117" s="23" t="str">
        <f t="shared" si="98"/>
        <v/>
      </c>
      <c r="I117" s="23" t="str">
        <f t="shared" si="99"/>
        <v/>
      </c>
      <c r="J117" s="121"/>
      <c r="K117" s="122">
        <v>85100</v>
      </c>
      <c r="L117" s="122">
        <v>83900</v>
      </c>
      <c r="M117" s="115">
        <f>85260+240</f>
        <v>85500</v>
      </c>
      <c r="N117" s="115">
        <f>85660+240</f>
        <v>85900</v>
      </c>
      <c r="O117" s="115">
        <f>85960+240</f>
        <v>86200</v>
      </c>
      <c r="P117" s="123">
        <v>2.17</v>
      </c>
      <c r="Q117" s="124"/>
      <c r="R117" s="238">
        <v>250</v>
      </c>
      <c r="S117" s="238">
        <v>125</v>
      </c>
      <c r="T117" s="121"/>
      <c r="U117" s="125">
        <v>200</v>
      </c>
      <c r="V117" s="125">
        <v>100</v>
      </c>
      <c r="W117" s="127" t="s">
        <v>303</v>
      </c>
      <c r="X117" s="127" t="s">
        <v>308</v>
      </c>
    </row>
    <row r="118" spans="1:26" x14ac:dyDescent="0.25">
      <c r="A118" s="120">
        <v>79900</v>
      </c>
      <c r="B118" s="129" t="s">
        <v>305</v>
      </c>
      <c r="C118" s="22"/>
      <c r="D118" s="23" t="str">
        <f t="shared" si="95"/>
        <v/>
      </c>
      <c r="E118" s="23" t="str">
        <f t="shared" si="96"/>
        <v/>
      </c>
      <c r="F118" s="23" t="str">
        <f>IF(C118&gt;=1,(K118-C118)*(1+$P118*$F$4/100)/$F$4+Q118+S118, "")</f>
        <v/>
      </c>
      <c r="G118" s="23" t="str">
        <f t="shared" si="100"/>
        <v/>
      </c>
      <c r="H118" s="23" t="str">
        <f t="shared" si="98"/>
        <v/>
      </c>
      <c r="I118" s="23" t="str">
        <f t="shared" si="99"/>
        <v/>
      </c>
      <c r="J118" s="121"/>
      <c r="K118" s="122">
        <v>81100</v>
      </c>
      <c r="L118" s="122">
        <v>79800</v>
      </c>
      <c r="M118" s="115">
        <f>81194+240</f>
        <v>81434</v>
      </c>
      <c r="N118" s="115">
        <f>81628+240</f>
        <v>81868</v>
      </c>
      <c r="O118" s="115">
        <f>81960+240</f>
        <v>82200</v>
      </c>
      <c r="P118" s="123">
        <v>2.17</v>
      </c>
      <c r="Q118" s="124"/>
      <c r="R118" s="238">
        <v>250</v>
      </c>
      <c r="S118" s="238">
        <v>125</v>
      </c>
      <c r="T118" s="121"/>
      <c r="U118" s="125">
        <v>200</v>
      </c>
      <c r="V118" s="125">
        <v>50</v>
      </c>
      <c r="W118" s="127" t="s">
        <v>303</v>
      </c>
      <c r="X118" s="127" t="s">
        <v>306</v>
      </c>
    </row>
    <row r="119" spans="1:26" s="128" customFormat="1" x14ac:dyDescent="0.25">
      <c r="A119" s="120">
        <v>73900</v>
      </c>
      <c r="B119" s="129" t="s">
        <v>295</v>
      </c>
      <c r="C119" s="22"/>
      <c r="D119" s="23" t="str">
        <f t="shared" si="95"/>
        <v/>
      </c>
      <c r="E119" s="23" t="str">
        <f t="shared" si="96"/>
        <v/>
      </c>
      <c r="F119" s="23" t="str">
        <f t="shared" ref="F119:F192" si="101">IF(C119&gt;=1,(K119-C119)*(1+$P119*$F$4/100)/$F$4+Q119+S119, "")</f>
        <v/>
      </c>
      <c r="G119" s="23" t="str">
        <f t="shared" si="100"/>
        <v/>
      </c>
      <c r="H119" s="23" t="str">
        <f t="shared" si="98"/>
        <v/>
      </c>
      <c r="I119" s="23" t="str">
        <f t="shared" si="99"/>
        <v/>
      </c>
      <c r="J119" s="121"/>
      <c r="K119" s="115">
        <f>75600</f>
        <v>75600</v>
      </c>
      <c r="L119" s="122">
        <f>74600</f>
        <v>74600</v>
      </c>
      <c r="M119" s="115">
        <f>74933+1200</f>
        <v>76133</v>
      </c>
      <c r="N119" s="115">
        <f>75266+1200</f>
        <v>76466</v>
      </c>
      <c r="O119" s="115">
        <f>75600+1100</f>
        <v>76700</v>
      </c>
      <c r="P119" s="123">
        <v>2.17</v>
      </c>
      <c r="Q119" s="124"/>
      <c r="R119" s="238">
        <v>250</v>
      </c>
      <c r="S119" s="238">
        <v>125</v>
      </c>
      <c r="T119" s="121"/>
      <c r="U119" s="125">
        <v>200</v>
      </c>
      <c r="V119" s="125">
        <v>50</v>
      </c>
      <c r="W119" s="127" t="s">
        <v>443</v>
      </c>
      <c r="X119" s="126" t="s">
        <v>446</v>
      </c>
    </row>
    <row r="120" spans="1:26" s="128" customFormat="1" x14ac:dyDescent="0.25">
      <c r="A120" s="113">
        <v>99800</v>
      </c>
      <c r="B120" s="27" t="s">
        <v>172</v>
      </c>
      <c r="C120" s="22"/>
      <c r="D120" s="23" t="str">
        <f t="shared" si="95"/>
        <v/>
      </c>
      <c r="E120" s="23" t="str">
        <f t="shared" si="96"/>
        <v/>
      </c>
      <c r="F120" s="23" t="str">
        <f t="shared" si="101"/>
        <v/>
      </c>
      <c r="G120" s="23" t="str">
        <f t="shared" si="100"/>
        <v/>
      </c>
      <c r="H120" s="23" t="str">
        <f t="shared" si="98"/>
        <v/>
      </c>
      <c r="I120" s="23" t="str">
        <f t="shared" si="99"/>
        <v/>
      </c>
      <c r="J120" s="114"/>
      <c r="K120" s="115">
        <v>101395</v>
      </c>
      <c r="L120" s="115">
        <v>99800</v>
      </c>
      <c r="M120" s="115">
        <f>101291+1200</f>
        <v>102491</v>
      </c>
      <c r="N120" s="115">
        <f>101823+1200</f>
        <v>103023</v>
      </c>
      <c r="O120" s="115">
        <f>102255+1100</f>
        <v>103355</v>
      </c>
      <c r="P120" s="116">
        <v>2.17</v>
      </c>
      <c r="Q120" s="130"/>
      <c r="R120" s="238">
        <v>250</v>
      </c>
      <c r="S120" s="238">
        <v>125</v>
      </c>
      <c r="T120" s="114"/>
      <c r="U120" s="118">
        <v>200</v>
      </c>
      <c r="V120" s="118">
        <v>100</v>
      </c>
      <c r="W120" s="150" t="s">
        <v>173</v>
      </c>
      <c r="X120" s="150"/>
    </row>
    <row r="121" spans="1:26" s="128" customFormat="1" x14ac:dyDescent="0.25">
      <c r="A121" s="113">
        <v>102800</v>
      </c>
      <c r="B121" s="27" t="s">
        <v>142</v>
      </c>
      <c r="C121" s="22"/>
      <c r="D121" s="23" t="str">
        <f t="shared" si="95"/>
        <v/>
      </c>
      <c r="E121" s="23" t="str">
        <f>IF(C121&gt;=1,(K121-C121)*(1+P121*$E$4/100)/$E$4+Q121+S121,"")</f>
        <v/>
      </c>
      <c r="F121" s="23" t="str">
        <f t="shared" si="101"/>
        <v/>
      </c>
      <c r="G121" s="23" t="str">
        <f t="shared" si="100"/>
        <v/>
      </c>
      <c r="H121" s="23" t="str">
        <f t="shared" si="98"/>
        <v/>
      </c>
      <c r="I121" s="23" t="str">
        <f t="shared" si="99"/>
        <v/>
      </c>
      <c r="J121" s="114"/>
      <c r="K121" s="115">
        <v>106975</v>
      </c>
      <c r="L121" s="115">
        <v>102800</v>
      </c>
      <c r="M121" s="115">
        <f>105151+1200</f>
        <v>106351</v>
      </c>
      <c r="N121" s="115">
        <f>106543+1200</f>
        <v>107743</v>
      </c>
      <c r="O121" s="115">
        <f>107835+1100</f>
        <v>108935</v>
      </c>
      <c r="P121" s="116">
        <v>2.17</v>
      </c>
      <c r="Q121" s="130"/>
      <c r="R121" s="238">
        <v>250</v>
      </c>
      <c r="S121" s="238">
        <v>125</v>
      </c>
      <c r="T121" s="114"/>
      <c r="U121" s="118">
        <v>200</v>
      </c>
      <c r="V121" s="118">
        <v>100</v>
      </c>
      <c r="W121" s="119"/>
      <c r="X121" s="119"/>
    </row>
    <row r="122" spans="1:26" s="128" customFormat="1" x14ac:dyDescent="0.25">
      <c r="A122" s="113">
        <v>102900</v>
      </c>
      <c r="B122" s="129" t="s">
        <v>230</v>
      </c>
      <c r="C122" s="22"/>
      <c r="D122" s="23" t="str">
        <f t="shared" si="95"/>
        <v/>
      </c>
      <c r="E122" s="23" t="str">
        <f t="shared" si="96"/>
        <v/>
      </c>
      <c r="F122" s="23" t="str">
        <f t="shared" si="101"/>
        <v/>
      </c>
      <c r="G122" s="23" t="str">
        <f t="shared" si="100"/>
        <v/>
      </c>
      <c r="H122" s="23" t="str">
        <f t="shared" si="98"/>
        <v/>
      </c>
      <c r="I122" s="23" t="str">
        <f t="shared" si="99"/>
        <v/>
      </c>
      <c r="J122" s="114"/>
      <c r="K122" s="115">
        <v>107019</v>
      </c>
      <c r="L122" s="115">
        <v>102900</v>
      </c>
      <c r="M122" s="115">
        <f>104273+1200</f>
        <v>105473</v>
      </c>
      <c r="N122" s="115">
        <f>105646+1200</f>
        <v>106846</v>
      </c>
      <c r="O122" s="115">
        <f>107019+1100</f>
        <v>108119</v>
      </c>
      <c r="P122" s="116">
        <v>2.17</v>
      </c>
      <c r="Q122" s="130"/>
      <c r="R122" s="238">
        <v>250</v>
      </c>
      <c r="S122" s="238">
        <v>125</v>
      </c>
      <c r="T122" s="114"/>
      <c r="U122" s="118">
        <v>200</v>
      </c>
      <c r="V122" s="118">
        <v>100</v>
      </c>
      <c r="W122" s="119">
        <v>43861</v>
      </c>
      <c r="X122" s="119" t="s">
        <v>231</v>
      </c>
    </row>
    <row r="123" spans="1:26" s="128" customFormat="1" x14ac:dyDescent="0.25">
      <c r="A123" s="113">
        <v>105900</v>
      </c>
      <c r="B123" s="129" t="s">
        <v>183</v>
      </c>
      <c r="C123" s="22"/>
      <c r="D123" s="23" t="str">
        <f t="shared" si="95"/>
        <v/>
      </c>
      <c r="E123" s="23" t="str">
        <f t="shared" si="96"/>
        <v/>
      </c>
      <c r="F123" s="23" t="str">
        <f t="shared" si="101"/>
        <v/>
      </c>
      <c r="G123" s="23" t="str">
        <f t="shared" si="100"/>
        <v/>
      </c>
      <c r="H123" s="23" t="str">
        <f t="shared" si="98"/>
        <v/>
      </c>
      <c r="I123" s="23" t="str">
        <f t="shared" si="99"/>
        <v/>
      </c>
      <c r="J123" s="114"/>
      <c r="K123" s="115">
        <v>108986</v>
      </c>
      <c r="L123" s="115">
        <v>105900</v>
      </c>
      <c r="M123" s="115">
        <f>106928+1200</f>
        <v>108128</v>
      </c>
      <c r="N123" s="115">
        <f>107957+1200</f>
        <v>109157</v>
      </c>
      <c r="O123" s="115">
        <f>108986+1100</f>
        <v>110086</v>
      </c>
      <c r="P123" s="116">
        <v>2.17</v>
      </c>
      <c r="Q123" s="130"/>
      <c r="R123" s="238">
        <v>250</v>
      </c>
      <c r="S123" s="238">
        <v>125</v>
      </c>
      <c r="T123" s="114"/>
      <c r="U123" s="118">
        <v>200</v>
      </c>
      <c r="V123" s="118">
        <v>100</v>
      </c>
      <c r="W123" s="150" t="s">
        <v>182</v>
      </c>
      <c r="X123" s="150"/>
    </row>
    <row r="124" spans="1:26" s="128" customFormat="1" x14ac:dyDescent="0.25">
      <c r="A124" s="113">
        <v>122900</v>
      </c>
      <c r="B124" s="129" t="s">
        <v>264</v>
      </c>
      <c r="C124" s="22"/>
      <c r="D124" s="23" t="str">
        <f t="shared" si="95"/>
        <v/>
      </c>
      <c r="E124" s="23" t="str">
        <f t="shared" si="96"/>
        <v/>
      </c>
      <c r="F124" s="23" t="str">
        <f t="shared" si="101"/>
        <v/>
      </c>
      <c r="G124" s="23" t="str">
        <f t="shared" si="100"/>
        <v/>
      </c>
      <c r="H124" s="23" t="str">
        <f t="shared" si="98"/>
        <v/>
      </c>
      <c r="I124" s="23" t="str">
        <f t="shared" si="99"/>
        <v/>
      </c>
      <c r="J124" s="114"/>
      <c r="K124" s="115">
        <v>124530</v>
      </c>
      <c r="L124" s="115">
        <v>122900</v>
      </c>
      <c r="M124" s="115">
        <f>123443+1200</f>
        <v>124643</v>
      </c>
      <c r="N124" s="115">
        <f>123986+1200</f>
        <v>125186</v>
      </c>
      <c r="O124" s="115">
        <f>124530+1100</f>
        <v>125630</v>
      </c>
      <c r="P124" s="116">
        <v>2.17</v>
      </c>
      <c r="Q124" s="130"/>
      <c r="R124" s="238">
        <v>250</v>
      </c>
      <c r="S124" s="238">
        <v>125</v>
      </c>
      <c r="T124" s="114"/>
      <c r="U124" s="118">
        <v>200</v>
      </c>
      <c r="V124" s="118">
        <v>100</v>
      </c>
      <c r="W124" s="119">
        <v>44070</v>
      </c>
      <c r="X124" s="119" t="s">
        <v>263</v>
      </c>
    </row>
    <row r="125" spans="1:26" s="128" customFormat="1" x14ac:dyDescent="0.25">
      <c r="A125" s="113">
        <v>124900</v>
      </c>
      <c r="B125" s="209" t="s">
        <v>272</v>
      </c>
      <c r="C125" s="22"/>
      <c r="D125" s="23" t="str">
        <f t="shared" si="95"/>
        <v/>
      </c>
      <c r="E125" s="23" t="str">
        <f t="shared" si="96"/>
        <v/>
      </c>
      <c r="F125" s="23" t="str">
        <f t="shared" si="101"/>
        <v/>
      </c>
      <c r="G125" s="23" t="str">
        <f t="shared" si="100"/>
        <v/>
      </c>
      <c r="H125" s="23" t="str">
        <f t="shared" si="98"/>
        <v/>
      </c>
      <c r="I125" s="23" t="str">
        <f t="shared" si="99"/>
        <v/>
      </c>
      <c r="J125" s="114"/>
      <c r="K125" s="115">
        <v>127316</v>
      </c>
      <c r="L125" s="115">
        <v>124900</v>
      </c>
      <c r="M125" s="115">
        <f>125705+1200</f>
        <v>126905</v>
      </c>
      <c r="N125" s="115">
        <f>126510+1200</f>
        <v>127710</v>
      </c>
      <c r="O125" s="115">
        <f>127316+1100</f>
        <v>128416</v>
      </c>
      <c r="P125" s="116">
        <v>2.17</v>
      </c>
      <c r="Q125" s="130"/>
      <c r="R125" s="238">
        <v>250</v>
      </c>
      <c r="S125" s="238">
        <v>125</v>
      </c>
      <c r="T125" s="114"/>
      <c r="U125" s="118">
        <v>200</v>
      </c>
      <c r="V125" s="118">
        <v>100</v>
      </c>
      <c r="W125" s="150" t="s">
        <v>273</v>
      </c>
      <c r="X125" s="150" t="s">
        <v>274</v>
      </c>
    </row>
    <row r="126" spans="1:26" s="128" customFormat="1" x14ac:dyDescent="0.25">
      <c r="A126" s="113">
        <v>112900</v>
      </c>
      <c r="B126" s="209" t="s">
        <v>334</v>
      </c>
      <c r="C126" s="22"/>
      <c r="D126" s="23" t="str">
        <f t="shared" si="95"/>
        <v/>
      </c>
      <c r="E126" s="23" t="str">
        <f t="shared" si="96"/>
        <v/>
      </c>
      <c r="F126" s="23" t="str">
        <f t="shared" si="101"/>
        <v/>
      </c>
      <c r="G126" s="23" t="str">
        <f t="shared" si="100"/>
        <v/>
      </c>
      <c r="H126" s="23" t="str">
        <f t="shared" si="98"/>
        <v/>
      </c>
      <c r="I126" s="23" t="str">
        <f t="shared" si="99"/>
        <v/>
      </c>
      <c r="J126" s="114"/>
      <c r="K126" s="115">
        <v>114132</v>
      </c>
      <c r="L126" s="115">
        <v>112900</v>
      </c>
      <c r="M126" s="115">
        <f>113310+1200</f>
        <v>114510</v>
      </c>
      <c r="N126" s="115">
        <f>113721+1200</f>
        <v>114921</v>
      </c>
      <c r="O126" s="115">
        <f>114132+1100</f>
        <v>115232</v>
      </c>
      <c r="P126" s="116">
        <v>2.17</v>
      </c>
      <c r="Q126" s="130"/>
      <c r="R126" s="238">
        <v>250</v>
      </c>
      <c r="S126" s="238">
        <v>125</v>
      </c>
      <c r="T126" s="114"/>
      <c r="U126" s="118">
        <v>200</v>
      </c>
      <c r="V126" s="118">
        <v>100</v>
      </c>
      <c r="W126" s="150" t="s">
        <v>336</v>
      </c>
      <c r="X126" s="150" t="s">
        <v>335</v>
      </c>
      <c r="Y126" s="150" t="s">
        <v>293</v>
      </c>
      <c r="Z126" s="150" t="s">
        <v>294</v>
      </c>
    </row>
    <row r="127" spans="1:26" s="128" customFormat="1" x14ac:dyDescent="0.25">
      <c r="A127" s="113">
        <v>119900</v>
      </c>
      <c r="B127" s="209" t="s">
        <v>377</v>
      </c>
      <c r="C127" s="22"/>
      <c r="D127" s="23" t="str">
        <f t="shared" si="95"/>
        <v/>
      </c>
      <c r="E127" s="23" t="str">
        <f t="shared" si="96"/>
        <v/>
      </c>
      <c r="F127" s="23" t="str">
        <f t="shared" si="101"/>
        <v/>
      </c>
      <c r="G127" s="23" t="str">
        <f t="shared" si="100"/>
        <v/>
      </c>
      <c r="H127" s="23" t="str">
        <f t="shared" si="98"/>
        <v/>
      </c>
      <c r="I127" s="23" t="str">
        <f t="shared" si="99"/>
        <v/>
      </c>
      <c r="J127" s="114"/>
      <c r="K127" s="115">
        <f>121132</f>
        <v>121132</v>
      </c>
      <c r="L127" s="115">
        <f>119900</f>
        <v>119900</v>
      </c>
      <c r="M127" s="115">
        <f>120310+1200</f>
        <v>121510</v>
      </c>
      <c r="N127" s="115">
        <f>120721+1200</f>
        <v>121921</v>
      </c>
      <c r="O127" s="115">
        <f>121132+1100</f>
        <v>122232</v>
      </c>
      <c r="P127" s="116">
        <v>2.17</v>
      </c>
      <c r="Q127" s="130"/>
      <c r="R127" s="238">
        <v>250</v>
      </c>
      <c r="S127" s="238">
        <v>125</v>
      </c>
      <c r="T127" s="114"/>
      <c r="U127" s="118">
        <v>200</v>
      </c>
      <c r="V127" s="118">
        <v>100</v>
      </c>
      <c r="W127" s="150" t="s">
        <v>380</v>
      </c>
      <c r="X127" s="150" t="s">
        <v>381</v>
      </c>
    </row>
    <row r="128" spans="1:26" s="128" customFormat="1" x14ac:dyDescent="0.25">
      <c r="A128" s="113">
        <v>124000</v>
      </c>
      <c r="B128" s="209" t="s">
        <v>541</v>
      </c>
      <c r="C128" s="22"/>
      <c r="D128" s="23" t="str">
        <f t="shared" si="95"/>
        <v/>
      </c>
      <c r="E128" s="23" t="str">
        <f>IF(C128&gt;=1,(K128-C128)*(1+P128*$E$4/100)/$E$4+Q128+S128,"")</f>
        <v/>
      </c>
      <c r="F128" s="23" t="str">
        <f t="shared" si="101"/>
        <v/>
      </c>
      <c r="G128" s="23" t="str">
        <f t="shared" si="100"/>
        <v/>
      </c>
      <c r="H128" s="23" t="str">
        <f t="shared" si="98"/>
        <v/>
      </c>
      <c r="I128" s="23" t="str">
        <f t="shared" si="99"/>
        <v/>
      </c>
      <c r="J128" s="114"/>
      <c r="K128" s="115">
        <v>125232</v>
      </c>
      <c r="L128" s="115">
        <v>124000</v>
      </c>
      <c r="M128" s="115">
        <f>124410+1200</f>
        <v>125610</v>
      </c>
      <c r="N128" s="115">
        <f>124821+1200</f>
        <v>126021</v>
      </c>
      <c r="O128" s="115">
        <f>125232+1100</f>
        <v>126332</v>
      </c>
      <c r="P128" s="116">
        <v>2.17</v>
      </c>
      <c r="Q128" s="130"/>
      <c r="R128" s="238">
        <v>250</v>
      </c>
      <c r="S128" s="238">
        <v>125</v>
      </c>
      <c r="T128" s="114"/>
      <c r="U128" s="118">
        <v>200</v>
      </c>
      <c r="V128" s="118">
        <v>100</v>
      </c>
      <c r="W128" s="150" t="s">
        <v>536</v>
      </c>
      <c r="X128" s="150" t="s">
        <v>542</v>
      </c>
    </row>
    <row r="129" spans="1:26" s="128" customFormat="1" x14ac:dyDescent="0.25">
      <c r="A129" s="113">
        <v>132900</v>
      </c>
      <c r="B129" s="209" t="s">
        <v>337</v>
      </c>
      <c r="C129" s="22"/>
      <c r="D129" s="23" t="str">
        <f t="shared" si="95"/>
        <v/>
      </c>
      <c r="E129" s="23" t="str">
        <f t="shared" si="96"/>
        <v/>
      </c>
      <c r="F129" s="23" t="str">
        <f t="shared" si="101"/>
        <v/>
      </c>
      <c r="G129" s="23" t="str">
        <f t="shared" si="100"/>
        <v/>
      </c>
      <c r="H129" s="23" t="str">
        <f t="shared" si="98"/>
        <v/>
      </c>
      <c r="I129" s="23" t="str">
        <f t="shared" si="99"/>
        <v/>
      </c>
      <c r="J129" s="114"/>
      <c r="K129" s="115">
        <v>134854</v>
      </c>
      <c r="L129" s="115">
        <v>132900</v>
      </c>
      <c r="M129" s="115">
        <f>133551+1200</f>
        <v>134751</v>
      </c>
      <c r="N129" s="115">
        <f>134202+1200</f>
        <v>135402</v>
      </c>
      <c r="O129" s="115">
        <f>134854+1100</f>
        <v>135954</v>
      </c>
      <c r="P129" s="116">
        <v>2.17</v>
      </c>
      <c r="Q129" s="130"/>
      <c r="R129" s="238">
        <v>250</v>
      </c>
      <c r="S129" s="238">
        <v>125</v>
      </c>
      <c r="T129" s="114"/>
      <c r="U129" s="118">
        <v>200</v>
      </c>
      <c r="V129" s="118">
        <v>100</v>
      </c>
      <c r="W129" s="150" t="s">
        <v>336</v>
      </c>
      <c r="X129" s="150" t="s">
        <v>335</v>
      </c>
      <c r="Y129" s="150" t="s">
        <v>293</v>
      </c>
      <c r="Z129" s="150" t="s">
        <v>286</v>
      </c>
    </row>
    <row r="130" spans="1:26" s="128" customFormat="1" x14ac:dyDescent="0.25">
      <c r="A130" s="113">
        <v>140400</v>
      </c>
      <c r="B130" s="209" t="s">
        <v>379</v>
      </c>
      <c r="C130" s="22"/>
      <c r="D130" s="23" t="str">
        <f t="shared" si="95"/>
        <v/>
      </c>
      <c r="E130" s="23" t="str">
        <f t="shared" si="96"/>
        <v/>
      </c>
      <c r="F130" s="23" t="str">
        <f t="shared" si="101"/>
        <v/>
      </c>
      <c r="G130" s="23" t="str">
        <f t="shared" si="100"/>
        <v/>
      </c>
      <c r="H130" s="23" t="str">
        <f t="shared" si="98"/>
        <v/>
      </c>
      <c r="I130" s="23" t="str">
        <f t="shared" si="99"/>
        <v/>
      </c>
      <c r="J130" s="114"/>
      <c r="K130" s="115">
        <f>142354</f>
        <v>142354</v>
      </c>
      <c r="L130" s="115">
        <f>140400</f>
        <v>140400</v>
      </c>
      <c r="M130" s="115">
        <f>141051+1200</f>
        <v>142251</v>
      </c>
      <c r="N130" s="115">
        <f>141702+1200</f>
        <v>142902</v>
      </c>
      <c r="O130" s="115">
        <f>142354+1100</f>
        <v>143454</v>
      </c>
      <c r="P130" s="116">
        <v>2.17</v>
      </c>
      <c r="Q130" s="130"/>
      <c r="R130" s="238">
        <v>250</v>
      </c>
      <c r="S130" s="238">
        <v>125</v>
      </c>
      <c r="T130" s="114"/>
      <c r="U130" s="118">
        <v>200</v>
      </c>
      <c r="V130" s="118">
        <v>100</v>
      </c>
      <c r="W130" s="150" t="s">
        <v>380</v>
      </c>
      <c r="X130" s="150" t="s">
        <v>382</v>
      </c>
    </row>
    <row r="131" spans="1:26" s="128" customFormat="1" x14ac:dyDescent="0.25">
      <c r="A131" s="113">
        <v>146000</v>
      </c>
      <c r="B131" s="209" t="s">
        <v>408</v>
      </c>
      <c r="C131" s="22"/>
      <c r="D131" s="23" t="str">
        <f t="shared" si="95"/>
        <v/>
      </c>
      <c r="E131" s="23" t="str">
        <f t="shared" si="96"/>
        <v/>
      </c>
      <c r="F131" s="23" t="str">
        <f t="shared" si="101"/>
        <v/>
      </c>
      <c r="G131" s="23" t="str">
        <f t="shared" si="100"/>
        <v/>
      </c>
      <c r="H131" s="23" t="str">
        <f t="shared" si="98"/>
        <v/>
      </c>
      <c r="I131" s="23" t="str">
        <f t="shared" si="99"/>
        <v/>
      </c>
      <c r="J131" s="114"/>
      <c r="K131" s="115">
        <v>147954</v>
      </c>
      <c r="L131" s="115">
        <v>146000</v>
      </c>
      <c r="M131" s="115">
        <f>146651+1200</f>
        <v>147851</v>
      </c>
      <c r="N131" s="115">
        <f>147302+1200</f>
        <v>148502</v>
      </c>
      <c r="O131" s="115">
        <f>147954+1100</f>
        <v>149054</v>
      </c>
      <c r="P131" s="116">
        <v>2.17</v>
      </c>
      <c r="Q131" s="130"/>
      <c r="R131" s="238">
        <v>250</v>
      </c>
      <c r="S131" s="238">
        <v>125</v>
      </c>
      <c r="T131" s="114"/>
      <c r="U131" s="118">
        <v>200</v>
      </c>
      <c r="V131" s="118">
        <v>100</v>
      </c>
      <c r="W131" s="150" t="s">
        <v>536</v>
      </c>
      <c r="X131" s="150" t="s">
        <v>537</v>
      </c>
    </row>
    <row r="132" spans="1:26" s="128" customFormat="1" x14ac:dyDescent="0.25">
      <c r="A132" s="113">
        <v>125900</v>
      </c>
      <c r="B132" s="209" t="s">
        <v>695</v>
      </c>
      <c r="C132" s="22">
        <v>50000</v>
      </c>
      <c r="D132" s="23">
        <f t="shared" ref="D132" si="102">IF(C132&gt;=1,(K132-C132)*(1+P132*$D$4/100)/$D$4+Q132+R132,"")</f>
        <v>14779.09773333333</v>
      </c>
      <c r="E132" s="23">
        <f t="shared" ref="E132" si="103">IF(C132&gt;=1,(K132-C132)*(1+P132*$E$4/100)/$E$4+Q132+S132,"")</f>
        <v>8226.4310666666679</v>
      </c>
      <c r="F132" s="23">
        <f>IF(C132&gt;=1,(K132-C132)*(1+$P132*$F$4/100)/$F$4+Q132+S132, "")</f>
        <v>6083.8755111111113</v>
      </c>
      <c r="G132" s="23">
        <f>IF(C132&gt;=1, (K132-C132)*(1+$P132*$G$4/100)/$G$4+Q132+S132,"")</f>
        <v>5012.5977333333331</v>
      </c>
      <c r="H132" s="23">
        <f>IF(C132&gt;=1, (K132-C132)*(1+$P132*$H$4/100)/$H$4+Q132+S132, "")</f>
        <v>4369.8310666666666</v>
      </c>
      <c r="I132" s="23">
        <f>IF(C132&gt;=1, (K132-C132)*(1+$P132*$I$4/100)/$I$4+Q132+S132, "")</f>
        <v>3941.3199555555557</v>
      </c>
      <c r="J132" s="114"/>
      <c r="K132" s="115">
        <f>127132</f>
        <v>127132</v>
      </c>
      <c r="L132" s="115">
        <f>125900</f>
        <v>125900</v>
      </c>
      <c r="M132" s="115">
        <f>126310+1200</f>
        <v>127510</v>
      </c>
      <c r="N132" s="115">
        <f>126721+1200</f>
        <v>127921</v>
      </c>
      <c r="O132" s="115">
        <f>127132+1100</f>
        <v>128232</v>
      </c>
      <c r="P132" s="116">
        <v>2.17</v>
      </c>
      <c r="Q132" s="130"/>
      <c r="R132" s="238">
        <v>250</v>
      </c>
      <c r="S132" s="238">
        <v>125</v>
      </c>
      <c r="T132" s="114"/>
      <c r="U132" s="118">
        <v>200</v>
      </c>
      <c r="V132" s="118">
        <v>100</v>
      </c>
      <c r="W132" s="150" t="s">
        <v>692</v>
      </c>
      <c r="X132" s="150" t="s">
        <v>693</v>
      </c>
    </row>
    <row r="133" spans="1:26" s="128" customFormat="1" x14ac:dyDescent="0.25">
      <c r="A133" s="113">
        <v>163900</v>
      </c>
      <c r="B133" s="209" t="s">
        <v>694</v>
      </c>
      <c r="C133" s="22">
        <v>70000</v>
      </c>
      <c r="D133" s="23">
        <f t="shared" ref="D133" si="104">IF(C133&gt;=1,(K133-C133)*(1+P133*$D$4/100)/$D$4+Q133+R133,"")</f>
        <v>18305.698466666665</v>
      </c>
      <c r="E133" s="23">
        <f t="shared" ref="E133" si="105">IF(C133&gt;=1,(K133-C133)*(1+P133*$E$4/100)/$E$4+Q133+S133,"")</f>
        <v>10192.865133333333</v>
      </c>
      <c r="F133" s="23">
        <f>IF(C133&gt;=1,(K133-C133)*(1+$P133*$F$4/100)/$F$4+Q133+S133, "")</f>
        <v>7530.2540222222224</v>
      </c>
      <c r="G133" s="23">
        <f>IF(C133&gt;=1, (K133-C133)*(1+$P133*$G$4/100)/$G$4+Q133+S133,"")</f>
        <v>6198.9484666666658</v>
      </c>
      <c r="H133" s="23">
        <f>IF(C133&gt;=1, (K133-C133)*(1+$P133*$H$4/100)/$H$4+Q133+S133, "")</f>
        <v>5400.1651333333321</v>
      </c>
      <c r="I133" s="23">
        <f>IF(C133&gt;=1, (K133-C133)*(1+$P133*$I$4/100)/$I$4+Q133+S133, "")</f>
        <v>4867.6429111111111</v>
      </c>
      <c r="J133" s="114"/>
      <c r="K133" s="115">
        <f>165854</f>
        <v>165854</v>
      </c>
      <c r="L133" s="115">
        <f>163900</f>
        <v>163900</v>
      </c>
      <c r="M133" s="115">
        <f>164551+1200</f>
        <v>165751</v>
      </c>
      <c r="N133" s="115">
        <f>165202+1200</f>
        <v>166402</v>
      </c>
      <c r="O133" s="115">
        <f>165854+1100</f>
        <v>166954</v>
      </c>
      <c r="P133" s="116">
        <v>2.17</v>
      </c>
      <c r="Q133" s="130"/>
      <c r="R133" s="238">
        <v>250</v>
      </c>
      <c r="S133" s="238">
        <v>125</v>
      </c>
      <c r="T133" s="114"/>
      <c r="U133" s="118">
        <v>200</v>
      </c>
      <c r="V133" s="118">
        <v>100</v>
      </c>
      <c r="W133" s="150" t="s">
        <v>692</v>
      </c>
      <c r="X133" s="150" t="s">
        <v>696</v>
      </c>
    </row>
    <row r="134" spans="1:26" s="128" customFormat="1" x14ac:dyDescent="0.25">
      <c r="A134" s="113">
        <v>93900</v>
      </c>
      <c r="B134" s="210" t="s">
        <v>498</v>
      </c>
      <c r="C134" s="22"/>
      <c r="D134" s="23" t="str">
        <f t="shared" si="95"/>
        <v/>
      </c>
      <c r="E134" s="23" t="str">
        <f t="shared" si="96"/>
        <v/>
      </c>
      <c r="F134" s="23" t="str">
        <f t="shared" si="101"/>
        <v/>
      </c>
      <c r="G134" s="23" t="str">
        <f t="shared" si="100"/>
        <v/>
      </c>
      <c r="H134" s="23" t="str">
        <f t="shared" si="98"/>
        <v/>
      </c>
      <c r="I134" s="23" t="str">
        <f t="shared" si="99"/>
        <v/>
      </c>
      <c r="J134" s="114"/>
      <c r="K134" s="115">
        <f>94915</f>
        <v>94915</v>
      </c>
      <c r="L134" s="115">
        <f>93900</f>
        <v>93900</v>
      </c>
      <c r="M134" s="115">
        <f>94238+1200</f>
        <v>95438</v>
      </c>
      <c r="N134" s="115">
        <f>94577+1200</f>
        <v>95777</v>
      </c>
      <c r="O134" s="115">
        <f>94915+1100</f>
        <v>96015</v>
      </c>
      <c r="P134" s="116">
        <v>2.17</v>
      </c>
      <c r="Q134" s="130"/>
      <c r="R134" s="238">
        <v>250</v>
      </c>
      <c r="S134" s="238">
        <v>125</v>
      </c>
      <c r="T134" s="114"/>
      <c r="U134" s="118">
        <v>200</v>
      </c>
      <c r="V134" s="118">
        <v>100</v>
      </c>
      <c r="W134" s="150" t="s">
        <v>497</v>
      </c>
      <c r="X134" s="150" t="s">
        <v>499</v>
      </c>
      <c r="Y134" s="228"/>
    </row>
    <row r="135" spans="1:26" s="128" customFormat="1" x14ac:dyDescent="0.25">
      <c r="A135" s="113">
        <v>92900</v>
      </c>
      <c r="B135" s="210" t="s">
        <v>565</v>
      </c>
      <c r="C135" s="22"/>
      <c r="D135" s="23" t="str">
        <f t="shared" ref="D135" si="106">IF(C135&gt;=1,(K135-C135)*(1+P135*$D$4/100)/$D$4+Q135+R135,"")</f>
        <v/>
      </c>
      <c r="E135" s="23" t="str">
        <f t="shared" ref="E135" si="107">IF(C135&gt;=1,(K135-C135)*(1+P135*$E$4/100)/$E$4+Q135+S135,"")</f>
        <v/>
      </c>
      <c r="F135" s="23" t="str">
        <f t="shared" ref="F135" si="108">IF(C135&gt;=1,(K135-C135)*(1+$P135*$F$4/100)/$F$4+Q135+S135, "")</f>
        <v/>
      </c>
      <c r="G135" s="23" t="str">
        <f t="shared" ref="G135" si="109">IF(C135&gt;=1, (K135-C135)*(1+$P135*$G$4/100)/$G$4+Q135+S135,"")</f>
        <v/>
      </c>
      <c r="H135" s="23" t="str">
        <f t="shared" ref="H135" si="110">IF(C135&gt;=1, (K135-C135)*(1+$P135*$H$4/100)/$H$4+Q135+S135, "")</f>
        <v/>
      </c>
      <c r="I135" s="23" t="str">
        <f t="shared" ref="I135" si="111">IF(C135&gt;=1, (K135-C135)*(1+$P135*$I$4/100)/$I$4+Q135+S135, "")</f>
        <v/>
      </c>
      <c r="J135" s="114"/>
      <c r="K135" s="115">
        <f>93915</f>
        <v>93915</v>
      </c>
      <c r="L135" s="115">
        <f>92900</f>
        <v>92900</v>
      </c>
      <c r="M135" s="115">
        <f>93238+1200</f>
        <v>94438</v>
      </c>
      <c r="N135" s="115">
        <f>93577+1200</f>
        <v>94777</v>
      </c>
      <c r="O135" s="115">
        <f>93915+1100</f>
        <v>95015</v>
      </c>
      <c r="P135" s="116">
        <v>2.17</v>
      </c>
      <c r="Q135" s="130"/>
      <c r="R135" s="238">
        <v>250</v>
      </c>
      <c r="S135" s="238">
        <v>125</v>
      </c>
      <c r="T135" s="114"/>
      <c r="U135" s="118">
        <v>200</v>
      </c>
      <c r="V135" s="118">
        <v>100</v>
      </c>
      <c r="W135" s="150" t="s">
        <v>566</v>
      </c>
      <c r="X135" s="150" t="s">
        <v>567</v>
      </c>
      <c r="Y135" s="228"/>
    </row>
    <row r="136" spans="1:26" s="128" customFormat="1" x14ac:dyDescent="0.25">
      <c r="A136" s="113">
        <v>93900</v>
      </c>
      <c r="B136" s="210" t="s">
        <v>621</v>
      </c>
      <c r="C136" s="22"/>
      <c r="D136" s="23" t="str">
        <f t="shared" ref="D136" si="112">IF(C136&gt;=1,(K136-C136)*(1+P136*$D$4/100)/$D$4+Q136+R136,"")</f>
        <v/>
      </c>
      <c r="E136" s="23" t="str">
        <f t="shared" ref="E136" si="113">IF(C136&gt;=1,(K136-C136)*(1+P136*$E$4/100)/$E$4+Q136+S136,"")</f>
        <v/>
      </c>
      <c r="F136" s="23" t="str">
        <f t="shared" ref="F136" si="114">IF(C136&gt;=1,(K136-C136)*(1+$P136*$F$4/100)/$F$4+Q136+S136, "")</f>
        <v/>
      </c>
      <c r="G136" s="23" t="str">
        <f t="shared" ref="G136" si="115">IF(C136&gt;=1, (K136-C136)*(1+$P136*$G$4/100)/$G$4+Q136+S136,"")</f>
        <v/>
      </c>
      <c r="H136" s="23" t="str">
        <f t="shared" ref="H136" si="116">IF(C136&gt;=1, (K136-C136)*(1+$P136*$H$4/100)/$H$4+Q136+S136, "")</f>
        <v/>
      </c>
      <c r="I136" s="23" t="str">
        <f t="shared" ref="I136" si="117">IF(C136&gt;=1, (K136-C136)*(1+$P136*$I$4/100)/$I$4+Q136+S136, "")</f>
        <v/>
      </c>
      <c r="J136" s="114"/>
      <c r="K136" s="115">
        <f>95538</f>
        <v>95538</v>
      </c>
      <c r="L136" s="115">
        <v>93900</v>
      </c>
      <c r="M136" s="115">
        <f>94446+1200</f>
        <v>95646</v>
      </c>
      <c r="N136" s="115">
        <f>94992+1200</f>
        <v>96192</v>
      </c>
      <c r="O136" s="115">
        <f>95538+1100</f>
        <v>96638</v>
      </c>
      <c r="P136" s="116">
        <v>2.17</v>
      </c>
      <c r="Q136" s="130"/>
      <c r="R136" s="238">
        <v>250</v>
      </c>
      <c r="S136" s="238">
        <v>125</v>
      </c>
      <c r="T136" s="114"/>
      <c r="U136" s="118">
        <v>200</v>
      </c>
      <c r="V136" s="118">
        <v>100</v>
      </c>
      <c r="W136" s="150" t="s">
        <v>618</v>
      </c>
      <c r="X136" s="150" t="s">
        <v>622</v>
      </c>
      <c r="Y136" s="228"/>
    </row>
    <row r="137" spans="1:26" s="128" customFormat="1" x14ac:dyDescent="0.25">
      <c r="A137" s="113">
        <v>93900</v>
      </c>
      <c r="B137" s="210" t="s">
        <v>466</v>
      </c>
      <c r="C137" s="22"/>
      <c r="D137" s="23" t="str">
        <f t="shared" si="95"/>
        <v/>
      </c>
      <c r="E137" s="23" t="str">
        <f t="shared" si="96"/>
        <v/>
      </c>
      <c r="F137" s="23" t="str">
        <f t="shared" si="101"/>
        <v/>
      </c>
      <c r="G137" s="23" t="str">
        <f t="shared" si="100"/>
        <v/>
      </c>
      <c r="H137" s="23" t="str">
        <f t="shared" si="98"/>
        <v/>
      </c>
      <c r="I137" s="23" t="str">
        <f t="shared" si="99"/>
        <v/>
      </c>
      <c r="J137" s="114"/>
      <c r="K137" s="115">
        <f>95339</f>
        <v>95339</v>
      </c>
      <c r="L137" s="115">
        <f>93900</f>
        <v>93900</v>
      </c>
      <c r="M137" s="115">
        <f>94380+1200</f>
        <v>95580</v>
      </c>
      <c r="N137" s="115">
        <f>94859+1200</f>
        <v>96059</v>
      </c>
      <c r="O137" s="115">
        <f>95339+1100</f>
        <v>96439</v>
      </c>
      <c r="P137" s="116">
        <v>2.17</v>
      </c>
      <c r="Q137" s="130"/>
      <c r="R137" s="238">
        <v>250</v>
      </c>
      <c r="S137" s="238">
        <v>125</v>
      </c>
      <c r="T137" s="114"/>
      <c r="U137" s="118">
        <v>200</v>
      </c>
      <c r="V137" s="118">
        <v>100</v>
      </c>
      <c r="W137" s="150" t="s">
        <v>467</v>
      </c>
      <c r="X137" s="150" t="s">
        <v>469</v>
      </c>
    </row>
    <row r="138" spans="1:26" s="128" customFormat="1" x14ac:dyDescent="0.25">
      <c r="A138" s="113">
        <v>84900</v>
      </c>
      <c r="B138" s="210" t="s">
        <v>653</v>
      </c>
      <c r="C138" s="22">
        <v>50000</v>
      </c>
      <c r="D138" s="23">
        <f>IF(C138&gt;=1,(K138-C138)*(1+P138*$D$4/100)/$D$4+Q138+R138,"")</f>
        <v>7095.0562999999993</v>
      </c>
      <c r="E138" s="23">
        <f>IF(C138&gt;=1,(K138-C138)*(1+P138*$E$4/100)/$E$4+Q138+S138,"")</f>
        <v>3941.8063000000002</v>
      </c>
      <c r="F138" s="23">
        <f>IF(C138&gt;=1,(K138-C138)*(1+$P138*$F$4/100)/$F$4+Q138+S138, "")</f>
        <v>2932.3896333333337</v>
      </c>
      <c r="G138" s="23">
        <f>IF(C138&gt;=1, (K138-C138)*(1+$P138*$G$4/100)/$G$4+Q138+S138,"")</f>
        <v>2427.6812999999997</v>
      </c>
      <c r="H138" s="23">
        <f>IF(C138&gt;=1, (K138-C138)*(1+$P138*$H$4/100)/$H$4+Q138+S138, "")</f>
        <v>2124.8562999999995</v>
      </c>
      <c r="I138" s="23">
        <f>IF(C138&gt;=1, (K138-C138)*(1+$P138*$I$4/100)/$I$4+Q138+S138, "")</f>
        <v>1922.9729666666669</v>
      </c>
      <c r="J138" s="114"/>
      <c r="K138" s="115">
        <f>86339</f>
        <v>86339</v>
      </c>
      <c r="L138" s="115">
        <f>84900</f>
        <v>84900</v>
      </c>
      <c r="M138" s="115">
        <f>85379+1200</f>
        <v>86579</v>
      </c>
      <c r="N138" s="115">
        <f>85859+1200</f>
        <v>87059</v>
      </c>
      <c r="O138" s="115">
        <f>86339+1100</f>
        <v>87439</v>
      </c>
      <c r="P138" s="116">
        <v>2.17</v>
      </c>
      <c r="Q138" s="130"/>
      <c r="R138" s="238">
        <v>250</v>
      </c>
      <c r="S138" s="238">
        <v>125</v>
      </c>
      <c r="T138" s="114"/>
      <c r="U138" s="118">
        <v>200</v>
      </c>
      <c r="V138" s="118">
        <v>100</v>
      </c>
      <c r="W138" s="150" t="s">
        <v>654</v>
      </c>
      <c r="X138" s="150" t="s">
        <v>655</v>
      </c>
    </row>
    <row r="139" spans="1:26" s="128" customFormat="1" x14ac:dyDescent="0.25">
      <c r="A139" s="113">
        <v>92900</v>
      </c>
      <c r="B139" s="210" t="s">
        <v>568</v>
      </c>
      <c r="C139" s="22"/>
      <c r="D139" s="23" t="str">
        <f t="shared" ref="D139" si="118">IF(C139&gt;=1,(K139-C139)*(1+P139*$D$4/100)/$D$4+Q139+R139,"")</f>
        <v/>
      </c>
      <c r="E139" s="23" t="str">
        <f t="shared" ref="E139" si="119">IF(C139&gt;=1,(K139-C139)*(1+P139*$E$4/100)/$E$4+Q139+S139,"")</f>
        <v/>
      </c>
      <c r="F139" s="23" t="str">
        <f t="shared" ref="F139" si="120">IF(C139&gt;=1,(K139-C139)*(1+$P139*$F$4/100)/$F$4+Q139+S139, "")</f>
        <v/>
      </c>
      <c r="G139" s="23" t="str">
        <f t="shared" ref="G139" si="121">IF(C139&gt;=1, (K139-C139)*(1+$P139*$G$4/100)/$G$4+Q139+S139,"")</f>
        <v/>
      </c>
      <c r="H139" s="23" t="str">
        <f t="shared" ref="H139" si="122">IF(C139&gt;=1, (K139-C139)*(1+$P139*$H$4/100)/$H$4+Q139+S139, "")</f>
        <v/>
      </c>
      <c r="I139" s="23" t="str">
        <f t="shared" ref="I139" si="123">IF(C139&gt;=1, (K139-C139)*(1+$P139*$I$4/100)/$I$4+Q139+S139, "")</f>
        <v/>
      </c>
      <c r="J139" s="114"/>
      <c r="K139" s="115">
        <f>94339</f>
        <v>94339</v>
      </c>
      <c r="L139" s="115">
        <f>92900</f>
        <v>92900</v>
      </c>
      <c r="M139" s="115">
        <f>93380+1200</f>
        <v>94580</v>
      </c>
      <c r="N139" s="115">
        <f>93859+1200</f>
        <v>95059</v>
      </c>
      <c r="O139" s="115">
        <f>94339+1100</f>
        <v>95439</v>
      </c>
      <c r="P139" s="116">
        <v>2.17</v>
      </c>
      <c r="Q139" s="130"/>
      <c r="R139" s="238">
        <v>250</v>
      </c>
      <c r="S139" s="238">
        <v>125</v>
      </c>
      <c r="T139" s="114"/>
      <c r="U139" s="118">
        <v>200</v>
      </c>
      <c r="V139" s="118">
        <v>100</v>
      </c>
      <c r="W139" s="150" t="s">
        <v>566</v>
      </c>
      <c r="X139" s="150" t="s">
        <v>569</v>
      </c>
    </row>
    <row r="140" spans="1:26" s="128" customFormat="1" x14ac:dyDescent="0.25">
      <c r="A140" s="113">
        <v>85400</v>
      </c>
      <c r="B140" s="210" t="s">
        <v>342</v>
      </c>
      <c r="C140" s="22"/>
      <c r="D140" s="23" t="str">
        <f t="shared" si="95"/>
        <v/>
      </c>
      <c r="E140" s="23" t="str">
        <f t="shared" si="96"/>
        <v/>
      </c>
      <c r="F140" s="23" t="str">
        <f t="shared" si="101"/>
        <v/>
      </c>
      <c r="G140" s="23" t="str">
        <f t="shared" si="100"/>
        <v/>
      </c>
      <c r="H140" s="23" t="str">
        <f t="shared" si="98"/>
        <v/>
      </c>
      <c r="I140" s="23" t="str">
        <f t="shared" si="99"/>
        <v/>
      </c>
      <c r="J140" s="114"/>
      <c r="K140" s="115">
        <f>86662</f>
        <v>86662</v>
      </c>
      <c r="L140" s="115">
        <f>85400</f>
        <v>85400</v>
      </c>
      <c r="M140" s="115">
        <f>85820+1200</f>
        <v>87020</v>
      </c>
      <c r="N140" s="115">
        <f>86241+1200</f>
        <v>87441</v>
      </c>
      <c r="O140" s="115">
        <f>86662+1100</f>
        <v>87762</v>
      </c>
      <c r="P140" s="116">
        <v>2.17</v>
      </c>
      <c r="Q140" s="130"/>
      <c r="R140" s="238">
        <v>250</v>
      </c>
      <c r="S140" s="238">
        <v>125</v>
      </c>
      <c r="T140" s="114"/>
      <c r="U140" s="118">
        <v>200</v>
      </c>
      <c r="V140" s="118">
        <v>100</v>
      </c>
      <c r="W140" s="150" t="s">
        <v>443</v>
      </c>
      <c r="X140" s="150" t="s">
        <v>444</v>
      </c>
    </row>
    <row r="141" spans="1:26" s="128" customFormat="1" x14ac:dyDescent="0.25">
      <c r="A141" s="113">
        <v>84400</v>
      </c>
      <c r="B141" s="210" t="s">
        <v>459</v>
      </c>
      <c r="C141" s="22"/>
      <c r="D141" s="23" t="str">
        <f t="shared" si="95"/>
        <v/>
      </c>
      <c r="E141" s="23" t="str">
        <f>IF(C141&gt;=1,(K141-C141)*(1+P141*$E$4/100)/$E$4+Q141+S141,"")</f>
        <v/>
      </c>
      <c r="F141" s="23" t="str">
        <f t="shared" si="101"/>
        <v/>
      </c>
      <c r="G141" s="23" t="str">
        <f t="shared" si="100"/>
        <v/>
      </c>
      <c r="H141" s="23" t="str">
        <f t="shared" si="98"/>
        <v/>
      </c>
      <c r="I141" s="23" t="str">
        <f t="shared" si="99"/>
        <v/>
      </c>
      <c r="J141" s="114"/>
      <c r="K141" s="115">
        <f>85600</f>
        <v>85600</v>
      </c>
      <c r="L141" s="115">
        <f>84400</f>
        <v>84400</v>
      </c>
      <c r="M141" s="115">
        <f>84800+1200</f>
        <v>86000</v>
      </c>
      <c r="N141" s="115">
        <f>85200+1200</f>
        <v>86400</v>
      </c>
      <c r="O141" s="115">
        <f>85600+1100</f>
        <v>86700</v>
      </c>
      <c r="P141" s="116">
        <v>2.17</v>
      </c>
      <c r="Q141" s="130"/>
      <c r="R141" s="238">
        <v>250</v>
      </c>
      <c r="S141" s="238">
        <v>125</v>
      </c>
      <c r="T141" s="114"/>
      <c r="U141" s="118">
        <v>200</v>
      </c>
      <c r="V141" s="118">
        <v>100</v>
      </c>
      <c r="W141" s="150" t="s">
        <v>456</v>
      </c>
      <c r="X141" s="150" t="s">
        <v>460</v>
      </c>
    </row>
    <row r="142" spans="1:26" s="128" customFormat="1" x14ac:dyDescent="0.25">
      <c r="A142" s="113">
        <v>79400</v>
      </c>
      <c r="B142" s="210" t="s">
        <v>457</v>
      </c>
      <c r="C142" s="22"/>
      <c r="D142" s="23" t="str">
        <f t="shared" si="95"/>
        <v/>
      </c>
      <c r="E142" s="23" t="str">
        <f>IF(C142&gt;=1,(K142-C142)*(1+P142*$E$4/100)/$E$4+Q142+S142,"")</f>
        <v/>
      </c>
      <c r="F142" s="23" t="str">
        <f>IF(C142&gt;=1,(K142-C142)*(1+$P142*$F$4/100)/$F$4+Q142+S142, "")</f>
        <v/>
      </c>
      <c r="G142" s="23" t="str">
        <f t="shared" si="100"/>
        <v/>
      </c>
      <c r="H142" s="23" t="str">
        <f t="shared" si="98"/>
        <v/>
      </c>
      <c r="I142" s="23" t="str">
        <f t="shared" si="99"/>
        <v/>
      </c>
      <c r="J142" s="114"/>
      <c r="K142" s="115">
        <f>80641</f>
        <v>80641</v>
      </c>
      <c r="L142" s="115">
        <f>79400</f>
        <v>79400</v>
      </c>
      <c r="M142" s="115">
        <f>79813+1200</f>
        <v>81013</v>
      </c>
      <c r="N142" s="115">
        <f>80227+1200</f>
        <v>81427</v>
      </c>
      <c r="O142" s="115">
        <f>80641+1100</f>
        <v>81741</v>
      </c>
      <c r="P142" s="116">
        <v>2.17</v>
      </c>
      <c r="Q142" s="130"/>
      <c r="R142" s="238">
        <v>250</v>
      </c>
      <c r="S142" s="238">
        <v>125</v>
      </c>
      <c r="T142" s="114"/>
      <c r="U142" s="118">
        <v>200</v>
      </c>
      <c r="V142" s="118">
        <v>100</v>
      </c>
      <c r="W142" s="150" t="s">
        <v>456</v>
      </c>
      <c r="X142" s="150" t="s">
        <v>458</v>
      </c>
    </row>
    <row r="143" spans="1:26" s="128" customFormat="1" x14ac:dyDescent="0.25">
      <c r="A143" s="113">
        <v>285000</v>
      </c>
      <c r="B143" s="129" t="s">
        <v>679</v>
      </c>
      <c r="C143" s="22"/>
      <c r="D143" s="23" t="str">
        <f t="shared" si="95"/>
        <v/>
      </c>
      <c r="E143" s="23" t="str">
        <f t="shared" ref="E143:E152" si="124">IF(C143&gt;=1,(K143-C143)*(1+P143*$E$4/100)/$E$4+Q143+S143,"")</f>
        <v/>
      </c>
      <c r="F143" s="23" t="str">
        <f t="shared" si="101"/>
        <v/>
      </c>
      <c r="G143" s="23" t="str">
        <f t="shared" si="100"/>
        <v/>
      </c>
      <c r="H143" s="231"/>
      <c r="I143" s="231"/>
      <c r="J143" s="114"/>
      <c r="K143" s="115">
        <f>291243</f>
        <v>291243</v>
      </c>
      <c r="L143" s="115">
        <f>285000</f>
        <v>285000</v>
      </c>
      <c r="M143" s="115">
        <f>287081+1200</f>
        <v>288281</v>
      </c>
      <c r="N143" s="115">
        <f>289162+1200</f>
        <v>290362</v>
      </c>
      <c r="O143" s="115">
        <f>291243+1100</f>
        <v>292343</v>
      </c>
      <c r="P143" s="116">
        <v>2.17</v>
      </c>
      <c r="Q143" s="130"/>
      <c r="R143" s="238">
        <v>250</v>
      </c>
      <c r="S143" s="238">
        <v>125</v>
      </c>
      <c r="T143" s="114"/>
      <c r="U143" s="118">
        <v>350</v>
      </c>
      <c r="V143" s="118">
        <v>100</v>
      </c>
      <c r="W143" s="150" t="s">
        <v>443</v>
      </c>
      <c r="X143" s="150" t="s">
        <v>447</v>
      </c>
    </row>
    <row r="144" spans="1:26" s="128" customFormat="1" x14ac:dyDescent="0.25">
      <c r="A144" s="113">
        <v>289000</v>
      </c>
      <c r="B144" s="129" t="s">
        <v>680</v>
      </c>
      <c r="C144" s="22">
        <v>150000</v>
      </c>
      <c r="D144" s="23">
        <f t="shared" ref="D144" si="125">IF(C144&gt;=1,(K144-C144)*(1+P144*$D$4/100)/$D$4+Q144+R144,"")</f>
        <v>27608.939766666663</v>
      </c>
      <c r="E144" s="23">
        <f t="shared" ref="E144" si="126">IF(C144&gt;=1,(K144-C144)*(1+P144*$E$4/100)/$E$4+Q144+S144,"")</f>
        <v>15380.356433333332</v>
      </c>
      <c r="F144" s="23">
        <f t="shared" ref="F144" si="127">IF(C144&gt;=1,(K144-C144)*(1+$P144*$F$4/100)/$F$4+Q144+S144, "")</f>
        <v>11345.828655555557</v>
      </c>
      <c r="G144" s="23">
        <f t="shared" ref="G144" si="128">IF(C144&gt;=1, (K144-C144)*(1+$P144*$G$4/100)/$G$4+Q144+S144,"")</f>
        <v>9328.5647666666664</v>
      </c>
      <c r="H144" s="231"/>
      <c r="I144" s="231"/>
      <c r="J144" s="114"/>
      <c r="K144" s="115">
        <f>295243</f>
        <v>295243</v>
      </c>
      <c r="L144" s="115">
        <f>289000</f>
        <v>289000</v>
      </c>
      <c r="M144" s="115">
        <f>291081+1200</f>
        <v>292281</v>
      </c>
      <c r="N144" s="115">
        <f>293162+1200</f>
        <v>294362</v>
      </c>
      <c r="O144" s="115">
        <f>295243+1100</f>
        <v>296343</v>
      </c>
      <c r="P144" s="116">
        <v>2.17</v>
      </c>
      <c r="Q144" s="130"/>
      <c r="R144" s="238">
        <v>250</v>
      </c>
      <c r="S144" s="238">
        <v>125</v>
      </c>
      <c r="T144" s="114"/>
      <c r="U144" s="118">
        <v>350</v>
      </c>
      <c r="V144" s="118">
        <v>100</v>
      </c>
      <c r="W144" s="150" t="s">
        <v>674</v>
      </c>
      <c r="X144" s="150" t="s">
        <v>681</v>
      </c>
    </row>
    <row r="145" spans="1:24" s="128" customFormat="1" x14ac:dyDescent="0.25">
      <c r="A145" s="113">
        <v>178000</v>
      </c>
      <c r="B145" s="129" t="s">
        <v>602</v>
      </c>
      <c r="C145" s="22"/>
      <c r="D145" s="23" t="str">
        <f t="shared" si="95"/>
        <v/>
      </c>
      <c r="E145" s="23" t="str">
        <f t="shared" si="124"/>
        <v/>
      </c>
      <c r="F145" s="23" t="str">
        <f t="shared" si="101"/>
        <v/>
      </c>
      <c r="G145" s="23" t="str">
        <f t="shared" si="100"/>
        <v/>
      </c>
      <c r="H145" s="23" t="str">
        <f t="shared" ref="H145" si="129">IF(C145&gt;=1, (K145-C145)*(1+$P145*$H$4/100)/$H$4+Q145+S145, "")</f>
        <v/>
      </c>
      <c r="I145" s="23" t="str">
        <f t="shared" ref="I145" si="130">IF(C145&gt;=1, (K145-C145)*(1+$P145*$I$4/100)/$I$4+Q145+S145, "")</f>
        <v/>
      </c>
      <c r="J145" s="114"/>
      <c r="K145" s="115">
        <f>183157</f>
        <v>183157</v>
      </c>
      <c r="L145" s="115">
        <f>178000</f>
        <v>178000</v>
      </c>
      <c r="M145" s="115">
        <f>179719+1200</f>
        <v>180919</v>
      </c>
      <c r="N145" s="115">
        <f>181438+1200</f>
        <v>182638</v>
      </c>
      <c r="O145" s="115">
        <f>183157+1100</f>
        <v>184257</v>
      </c>
      <c r="P145" s="116">
        <v>2.17</v>
      </c>
      <c r="Q145" s="130"/>
      <c r="R145" s="238">
        <v>250</v>
      </c>
      <c r="S145" s="238">
        <v>125</v>
      </c>
      <c r="T145" s="114"/>
      <c r="U145" s="118">
        <v>200</v>
      </c>
      <c r="V145" s="118">
        <v>50</v>
      </c>
      <c r="W145" s="150" t="s">
        <v>443</v>
      </c>
      <c r="X145" s="150" t="s">
        <v>601</v>
      </c>
    </row>
    <row r="146" spans="1:24" s="128" customFormat="1" x14ac:dyDescent="0.25">
      <c r="A146" s="113">
        <v>179000</v>
      </c>
      <c r="B146" s="129" t="s">
        <v>603</v>
      </c>
      <c r="C146" s="22"/>
      <c r="D146" s="23" t="str">
        <f t="shared" ref="D146" si="131">IF(C146&gt;=1,(K146-C146)*(1+P146*$D$4/100)/$D$4+Q146+R146,"")</f>
        <v/>
      </c>
      <c r="E146" s="23" t="str">
        <f t="shared" ref="E146" si="132">IF(C146&gt;=1,(K146-C146)*(1+P146*$E$4/100)/$E$4+Q146+S146,"")</f>
        <v/>
      </c>
      <c r="F146" s="23" t="str">
        <f t="shared" ref="F146" si="133">IF(C146&gt;=1,(K146-C146)*(1+$P146*$F$4/100)/$F$4+Q146+S146, "")</f>
        <v/>
      </c>
      <c r="G146" s="23" t="str">
        <f t="shared" ref="G146" si="134">IF(C146&gt;=1, (K146-C146)*(1+$P146*$G$4/100)/$G$4+Q146+S146,"")</f>
        <v/>
      </c>
      <c r="H146" s="23" t="str">
        <f t="shared" ref="H146" si="135">IF(C146&gt;=1, (K146-C146)*(1+$P146*$H$4/100)/$H$4+Q146+S146, "")</f>
        <v/>
      </c>
      <c r="I146" s="23" t="str">
        <f t="shared" ref="I146" si="136">IF(C146&gt;=1, (K146-C146)*(1+$P146*$I$4/100)/$I$4+Q146+S146, "")</f>
        <v/>
      </c>
      <c r="J146" s="114"/>
      <c r="K146" s="115">
        <f>184157</f>
        <v>184157</v>
      </c>
      <c r="L146" s="115">
        <f>179000</f>
        <v>179000</v>
      </c>
      <c r="M146" s="115">
        <f>180719+1200</f>
        <v>181919</v>
      </c>
      <c r="N146" s="115">
        <f>182438+1200</f>
        <v>183638</v>
      </c>
      <c r="O146" s="115">
        <f>184157+1100</f>
        <v>185257</v>
      </c>
      <c r="P146" s="116">
        <v>2.17</v>
      </c>
      <c r="Q146" s="130"/>
      <c r="R146" s="238">
        <v>250</v>
      </c>
      <c r="S146" s="238">
        <v>125</v>
      </c>
      <c r="T146" s="114"/>
      <c r="U146" s="118">
        <v>200</v>
      </c>
      <c r="V146" s="118">
        <v>50</v>
      </c>
      <c r="W146" s="150" t="s">
        <v>594</v>
      </c>
      <c r="X146" s="150" t="s">
        <v>595</v>
      </c>
    </row>
    <row r="147" spans="1:24" s="128" customFormat="1" x14ac:dyDescent="0.25">
      <c r="A147" s="113">
        <v>180000</v>
      </c>
      <c r="B147" s="129" t="s">
        <v>668</v>
      </c>
      <c r="C147" s="22">
        <v>90000</v>
      </c>
      <c r="D147" s="23">
        <f t="shared" ref="D147" si="137">IF(C147&gt;=1,(K147-C147)*(1+P147*$D$4/100)/$D$4+Q147+R147,"")</f>
        <v>18174.406899999998</v>
      </c>
      <c r="E147" s="23">
        <f t="shared" ref="E147" si="138">IF(C147&gt;=1,(K147-C147)*(1+P147*$E$4/100)/$E$4+Q147+S147,"")</f>
        <v>10119.6569</v>
      </c>
      <c r="F147" s="23">
        <f t="shared" ref="F147" si="139">IF(C147&gt;=1,(K147-C147)*(1+$P147*$F$4/100)/$F$4+Q147+S147, "")</f>
        <v>7476.4069</v>
      </c>
      <c r="G147" s="23">
        <f t="shared" ref="G147" si="140">IF(C147&gt;=1, (K147-C147)*(1+$P147*$G$4/100)/$G$4+Q147+S147,"")</f>
        <v>6154.781899999999</v>
      </c>
      <c r="H147" s="23">
        <f t="shared" ref="H147" si="141">IF(C147&gt;=1, (K147-C147)*(1+$P147*$H$4/100)/$H$4+Q147+S147, "")</f>
        <v>5361.8068999999996</v>
      </c>
      <c r="I147" s="23">
        <f t="shared" ref="I147" si="142">IF(C147&gt;=1, (K147-C147)*(1+$P147*$I$4/100)/$I$4+Q147+S147, "")</f>
        <v>4833.1569</v>
      </c>
      <c r="J147" s="114"/>
      <c r="K147" s="115">
        <f>185157</f>
        <v>185157</v>
      </c>
      <c r="L147" s="115">
        <f>180000</f>
        <v>180000</v>
      </c>
      <c r="M147" s="115">
        <f>181719+1200</f>
        <v>182919</v>
      </c>
      <c r="N147" s="115">
        <f>183438+1200</f>
        <v>184638</v>
      </c>
      <c r="O147" s="115">
        <f>185157+1100</f>
        <v>186257</v>
      </c>
      <c r="P147" s="116">
        <v>2.17</v>
      </c>
      <c r="Q147" s="130"/>
      <c r="R147" s="238">
        <v>250</v>
      </c>
      <c r="S147" s="238">
        <v>125</v>
      </c>
      <c r="T147" s="114"/>
      <c r="U147" s="118">
        <v>200</v>
      </c>
      <c r="V147" s="118">
        <v>50</v>
      </c>
      <c r="W147" s="150" t="s">
        <v>667</v>
      </c>
      <c r="X147" s="150" t="s">
        <v>669</v>
      </c>
    </row>
    <row r="148" spans="1:24" s="128" customFormat="1" x14ac:dyDescent="0.25">
      <c r="A148" s="113">
        <v>82900</v>
      </c>
      <c r="B148" s="129" t="s">
        <v>570</v>
      </c>
      <c r="C148" s="22">
        <v>50000</v>
      </c>
      <c r="D148" s="23">
        <f>IF(C148&gt;=1,(K148-C148)*(1+P148*$D$4/100)/$D$4+Q148+R148,"")</f>
        <v>6712.4835999999996</v>
      </c>
      <c r="E148" s="23">
        <f t="shared" ref="E148" si="143">IF(C148&gt;=1,(K148-C148)*(1+P148*$E$4/100)/$E$4+Q148+S148,"")</f>
        <v>3728.4836</v>
      </c>
      <c r="F148" s="23">
        <f t="shared" ref="F148" si="144">IF(C148&gt;=1,(K148-C148)*(1+$P148*$F$4/100)/$F$4+Q148+S148, "")</f>
        <v>2775.4836</v>
      </c>
      <c r="G148" s="23">
        <f t="shared" ref="G148" si="145">IF(C148&gt;=1, (K148-C148)*(1+$P148*$G$4/100)/$G$4+Q148+S148,"")</f>
        <v>2298.9836</v>
      </c>
      <c r="H148" s="23">
        <f t="shared" ref="H148" si="146">IF(C148&gt;=1, (K148-C148)*(1+$P148*$H$4/100)/$H$4+Q148+S148, "")</f>
        <v>2013.0835999999997</v>
      </c>
      <c r="I148" s="23">
        <f t="shared" ref="I148" si="147">IF(C148&gt;=1, (K148-C148)*(1+$P148*$I$4/100)/$I$4+Q148+S148, "")</f>
        <v>1822.4836000000003</v>
      </c>
      <c r="J148" s="114"/>
      <c r="K148" s="115">
        <f>84308</f>
        <v>84308</v>
      </c>
      <c r="L148" s="115">
        <f>82900</f>
        <v>82900</v>
      </c>
      <c r="M148" s="115">
        <f>83369+1200</f>
        <v>84569</v>
      </c>
      <c r="N148" s="115">
        <f>83839+1200</f>
        <v>85039</v>
      </c>
      <c r="O148" s="115">
        <f>84308+1100</f>
        <v>85408</v>
      </c>
      <c r="P148" s="116">
        <v>2.17</v>
      </c>
      <c r="Q148" s="130"/>
      <c r="R148" s="238">
        <v>250</v>
      </c>
      <c r="S148" s="238">
        <v>125</v>
      </c>
      <c r="T148" s="114"/>
      <c r="U148" s="118">
        <v>200</v>
      </c>
      <c r="V148" s="118">
        <v>100</v>
      </c>
      <c r="W148" s="150" t="s">
        <v>672</v>
      </c>
      <c r="X148" s="150" t="s">
        <v>664</v>
      </c>
    </row>
    <row r="149" spans="1:24" ht="12.75" customHeight="1" x14ac:dyDescent="0.25">
      <c r="A149" s="113">
        <v>48900</v>
      </c>
      <c r="B149" s="27" t="s">
        <v>42</v>
      </c>
      <c r="C149" s="22"/>
      <c r="D149" s="23" t="str">
        <f t="shared" si="95"/>
        <v/>
      </c>
      <c r="E149" s="23" t="str">
        <f t="shared" si="124"/>
        <v/>
      </c>
      <c r="F149" s="23" t="str">
        <f t="shared" si="101"/>
        <v/>
      </c>
      <c r="G149" s="23" t="str">
        <f t="shared" si="100"/>
        <v/>
      </c>
      <c r="H149" s="23" t="str">
        <f t="shared" si="98"/>
        <v/>
      </c>
      <c r="I149" s="23" t="str">
        <f t="shared" si="99"/>
        <v/>
      </c>
      <c r="J149" s="114"/>
      <c r="K149" s="115">
        <v>53111</v>
      </c>
      <c r="L149" s="115">
        <v>51635</v>
      </c>
      <c r="M149" s="115">
        <f>53027+60+240</f>
        <v>53327</v>
      </c>
      <c r="N149" s="115">
        <f>53519+60+240</f>
        <v>53819</v>
      </c>
      <c r="O149" s="115">
        <f>53911+60+240</f>
        <v>54211</v>
      </c>
      <c r="P149" s="116">
        <v>2.17</v>
      </c>
      <c r="Q149" s="117"/>
      <c r="R149" s="238">
        <v>250</v>
      </c>
      <c r="S149" s="238">
        <v>125</v>
      </c>
      <c r="T149" s="114"/>
      <c r="U149" s="118">
        <v>200</v>
      </c>
      <c r="V149" s="118">
        <v>50</v>
      </c>
      <c r="W149" s="119"/>
      <c r="X149" s="119"/>
    </row>
    <row r="150" spans="1:24" ht="12.75" customHeight="1" x14ac:dyDescent="0.25">
      <c r="A150" s="113">
        <v>59900</v>
      </c>
      <c r="B150" s="27" t="s">
        <v>221</v>
      </c>
      <c r="C150" s="22"/>
      <c r="D150" s="23" t="str">
        <f t="shared" si="95"/>
        <v/>
      </c>
      <c r="E150" s="23" t="str">
        <f t="shared" si="124"/>
        <v/>
      </c>
      <c r="F150" s="23" t="str">
        <f t="shared" si="101"/>
        <v/>
      </c>
      <c r="G150" s="23" t="str">
        <f t="shared" si="100"/>
        <v/>
      </c>
      <c r="H150" s="23" t="str">
        <f t="shared" si="98"/>
        <v/>
      </c>
      <c r="I150" s="23" t="str">
        <f t="shared" si="99"/>
        <v/>
      </c>
      <c r="J150" s="114"/>
      <c r="K150" s="115">
        <v>62057</v>
      </c>
      <c r="L150" s="115">
        <v>60875</v>
      </c>
      <c r="M150" s="115">
        <f>62229+240</f>
        <v>62469</v>
      </c>
      <c r="N150" s="115">
        <f>62623+240</f>
        <v>62863</v>
      </c>
      <c r="O150" s="115">
        <f>62917+240</f>
        <v>63157</v>
      </c>
      <c r="P150" s="116">
        <v>2.17</v>
      </c>
      <c r="Q150" s="117"/>
      <c r="R150" s="238">
        <v>250</v>
      </c>
      <c r="S150" s="238">
        <v>125</v>
      </c>
      <c r="T150" s="114"/>
      <c r="U150" s="118">
        <v>200</v>
      </c>
      <c r="V150" s="118">
        <v>50</v>
      </c>
      <c r="W150" s="119">
        <v>43817</v>
      </c>
      <c r="X150" s="119" t="s">
        <v>227</v>
      </c>
    </row>
    <row r="151" spans="1:24" ht="12.75" customHeight="1" x14ac:dyDescent="0.25">
      <c r="A151" s="113">
        <v>62900</v>
      </c>
      <c r="B151" s="27" t="s">
        <v>222</v>
      </c>
      <c r="C151" s="22"/>
      <c r="D151" s="23" t="str">
        <f t="shared" si="95"/>
        <v/>
      </c>
      <c r="E151" s="23" t="str">
        <f t="shared" si="124"/>
        <v/>
      </c>
      <c r="F151" s="23" t="str">
        <f t="shared" si="101"/>
        <v/>
      </c>
      <c r="G151" s="23" t="str">
        <f t="shared" si="100"/>
        <v/>
      </c>
      <c r="H151" s="23" t="str">
        <f t="shared" si="98"/>
        <v/>
      </c>
      <c r="I151" s="23" t="str">
        <f t="shared" si="99"/>
        <v/>
      </c>
      <c r="J151" s="114"/>
      <c r="K151" s="115">
        <v>64924</v>
      </c>
      <c r="L151" s="115">
        <v>63687</v>
      </c>
      <c r="M151" s="115">
        <f>65059+240</f>
        <v>65299</v>
      </c>
      <c r="N151" s="115">
        <f>65471+240</f>
        <v>65711</v>
      </c>
      <c r="O151" s="115">
        <f>65784+240</f>
        <v>66024</v>
      </c>
      <c r="P151" s="116">
        <v>2.17</v>
      </c>
      <c r="Q151" s="117"/>
      <c r="R151" s="238">
        <v>250</v>
      </c>
      <c r="S151" s="238">
        <v>125</v>
      </c>
      <c r="T151" s="114"/>
      <c r="U151" s="118">
        <v>200</v>
      </c>
      <c r="V151" s="118">
        <v>50</v>
      </c>
      <c r="W151" s="119">
        <v>43817</v>
      </c>
      <c r="X151" s="119" t="s">
        <v>227</v>
      </c>
    </row>
    <row r="152" spans="1:24" s="128" customFormat="1" x14ac:dyDescent="0.25">
      <c r="A152" s="113">
        <v>98900</v>
      </c>
      <c r="B152" s="27" t="s">
        <v>108</v>
      </c>
      <c r="C152" s="22"/>
      <c r="D152" s="23" t="str">
        <f t="shared" si="95"/>
        <v/>
      </c>
      <c r="E152" s="23" t="str">
        <f t="shared" si="124"/>
        <v/>
      </c>
      <c r="F152" s="23" t="str">
        <f t="shared" si="101"/>
        <v/>
      </c>
      <c r="G152" s="23" t="str">
        <f t="shared" si="100"/>
        <v/>
      </c>
      <c r="H152" s="23" t="str">
        <f t="shared" si="98"/>
        <v/>
      </c>
      <c r="I152" s="23" t="str">
        <f t="shared" si="99"/>
        <v/>
      </c>
      <c r="J152" s="114"/>
      <c r="K152" s="115">
        <v>100500</v>
      </c>
      <c r="L152" s="115">
        <v>98900</v>
      </c>
      <c r="M152" s="115">
        <f>100393+240</f>
        <v>100633</v>
      </c>
      <c r="N152" s="115">
        <f>100826+240</f>
        <v>101066</v>
      </c>
      <c r="O152" s="115">
        <f>101360+240</f>
        <v>101600</v>
      </c>
      <c r="P152" s="116">
        <v>2.17</v>
      </c>
      <c r="Q152" s="117"/>
      <c r="R152" s="238">
        <v>250</v>
      </c>
      <c r="S152" s="238">
        <v>125</v>
      </c>
      <c r="T152" s="114"/>
      <c r="U152" s="118">
        <v>200</v>
      </c>
      <c r="V152" s="118">
        <v>50</v>
      </c>
      <c r="W152" s="119"/>
      <c r="X152" s="119"/>
    </row>
    <row r="153" spans="1:24" s="128" customFormat="1" x14ac:dyDescent="0.25">
      <c r="A153" s="113">
        <v>97900</v>
      </c>
      <c r="B153" s="27" t="s">
        <v>107</v>
      </c>
      <c r="C153" s="22"/>
      <c r="D153" s="23" t="str">
        <f t="shared" si="95"/>
        <v/>
      </c>
      <c r="E153" s="23" t="str">
        <f>IF(C153&gt;=1,(K153-C153)*(1+P153*$E$4/100)/$E$4+Q153+S153,"")</f>
        <v/>
      </c>
      <c r="F153" s="23" t="str">
        <f t="shared" si="101"/>
        <v/>
      </c>
      <c r="G153" s="23" t="str">
        <f t="shared" si="100"/>
        <v/>
      </c>
      <c r="H153" s="23" t="str">
        <f t="shared" si="98"/>
        <v/>
      </c>
      <c r="I153" s="23" t="str">
        <f t="shared" si="99"/>
        <v/>
      </c>
      <c r="J153" s="114"/>
      <c r="K153" s="115">
        <v>99500</v>
      </c>
      <c r="L153" s="115">
        <v>96800</v>
      </c>
      <c r="M153" s="115">
        <f>97700+1200</f>
        <v>98900</v>
      </c>
      <c r="N153" s="115">
        <f>98600+1200</f>
        <v>99800</v>
      </c>
      <c r="O153" s="115">
        <f>99500+1100</f>
        <v>100600</v>
      </c>
      <c r="P153" s="116">
        <v>2.17</v>
      </c>
      <c r="Q153" s="117"/>
      <c r="R153" s="238">
        <v>250</v>
      </c>
      <c r="S153" s="238">
        <v>125</v>
      </c>
      <c r="T153" s="114"/>
      <c r="U153" s="118">
        <v>200</v>
      </c>
      <c r="V153" s="118">
        <v>50</v>
      </c>
      <c r="W153" s="119"/>
      <c r="X153" s="119"/>
    </row>
    <row r="154" spans="1:24" s="128" customFormat="1" x14ac:dyDescent="0.25">
      <c r="A154" s="113">
        <v>99800</v>
      </c>
      <c r="B154" s="27" t="s">
        <v>168</v>
      </c>
      <c r="C154" s="22"/>
      <c r="D154" s="23" t="str">
        <f t="shared" si="95"/>
        <v/>
      </c>
      <c r="E154" s="23" t="str">
        <f t="shared" ref="E154:E159" si="148">IF(C154&gt;=1,(K154-C154)*(1+P154*$E$4/100)/$E$4+Q154+S154,"")</f>
        <v/>
      </c>
      <c r="F154" s="23" t="str">
        <f t="shared" si="101"/>
        <v/>
      </c>
      <c r="G154" s="23" t="str">
        <f t="shared" si="100"/>
        <v/>
      </c>
      <c r="H154" s="23" t="str">
        <f t="shared" si="98"/>
        <v/>
      </c>
      <c r="I154" s="23" t="str">
        <f t="shared" si="99"/>
        <v/>
      </c>
      <c r="J154" s="114"/>
      <c r="K154" s="115">
        <v>101400</v>
      </c>
      <c r="L154" s="115">
        <v>99800</v>
      </c>
      <c r="M154" s="115">
        <f>101293+240</f>
        <v>101533</v>
      </c>
      <c r="N154" s="115">
        <f>101826+240</f>
        <v>102066</v>
      </c>
      <c r="O154" s="115">
        <f>102260+240</f>
        <v>102500</v>
      </c>
      <c r="P154" s="116">
        <v>2.17</v>
      </c>
      <c r="Q154" s="117"/>
      <c r="R154" s="238">
        <v>250</v>
      </c>
      <c r="S154" s="238">
        <v>125</v>
      </c>
      <c r="T154" s="114"/>
      <c r="U154" s="118">
        <v>200</v>
      </c>
      <c r="V154" s="118">
        <v>50</v>
      </c>
      <c r="W154" s="119">
        <v>43362</v>
      </c>
      <c r="X154" s="119"/>
    </row>
    <row r="155" spans="1:24" s="128" customFormat="1" x14ac:dyDescent="0.25">
      <c r="A155" s="113">
        <v>102800</v>
      </c>
      <c r="B155" s="27" t="s">
        <v>177</v>
      </c>
      <c r="C155" s="22"/>
      <c r="D155" s="23" t="str">
        <f t="shared" si="95"/>
        <v/>
      </c>
      <c r="E155" s="23" t="str">
        <f t="shared" si="148"/>
        <v/>
      </c>
      <c r="F155" s="23" t="str">
        <f t="shared" si="101"/>
        <v/>
      </c>
      <c r="G155" s="23" t="str">
        <f t="shared" si="100"/>
        <v/>
      </c>
      <c r="H155" s="23" t="str">
        <f t="shared" si="98"/>
        <v/>
      </c>
      <c r="I155" s="23" t="str">
        <f t="shared" si="99"/>
        <v/>
      </c>
      <c r="J155" s="114"/>
      <c r="K155" s="115">
        <v>106980</v>
      </c>
      <c r="L155" s="115">
        <v>102800</v>
      </c>
      <c r="M155" s="115">
        <f>105153+240</f>
        <v>105393</v>
      </c>
      <c r="N155" s="115">
        <f>106546+240</f>
        <v>106786</v>
      </c>
      <c r="O155" s="115">
        <f>107840+240</f>
        <v>108080</v>
      </c>
      <c r="P155" s="116">
        <v>2.17</v>
      </c>
      <c r="Q155" s="117"/>
      <c r="R155" s="238">
        <v>250</v>
      </c>
      <c r="S155" s="238">
        <v>125</v>
      </c>
      <c r="T155" s="114"/>
      <c r="U155" s="118">
        <v>200</v>
      </c>
      <c r="V155" s="118">
        <v>100</v>
      </c>
      <c r="W155" s="150" t="s">
        <v>178</v>
      </c>
      <c r="X155" s="150"/>
    </row>
    <row r="156" spans="1:24" s="128" customFormat="1" x14ac:dyDescent="0.25">
      <c r="A156" s="113">
        <v>102900</v>
      </c>
      <c r="B156" s="27" t="s">
        <v>265</v>
      </c>
      <c r="C156" s="22"/>
      <c r="D156" s="23" t="str">
        <f t="shared" si="95"/>
        <v/>
      </c>
      <c r="E156" s="23" t="str">
        <f t="shared" si="148"/>
        <v/>
      </c>
      <c r="F156" s="23" t="str">
        <f>IF(C156&gt;=1,(K156-C156)*(1+$P156*$F$4/100)/$F$4+Q156+S156, "")</f>
        <v/>
      </c>
      <c r="G156" s="23" t="str">
        <f t="shared" si="100"/>
        <v/>
      </c>
      <c r="H156" s="23" t="str">
        <f t="shared" si="98"/>
        <v/>
      </c>
      <c r="I156" s="23" t="str">
        <f t="shared" si="99"/>
        <v/>
      </c>
      <c r="J156" s="114"/>
      <c r="K156" s="115">
        <v>107080</v>
      </c>
      <c r="L156" s="115">
        <v>102900</v>
      </c>
      <c r="M156" s="115">
        <f>104293+1200</f>
        <v>105493</v>
      </c>
      <c r="N156" s="115">
        <f>105686+1200</f>
        <v>106886</v>
      </c>
      <c r="O156" s="115">
        <f>107080+1100</f>
        <v>108180</v>
      </c>
      <c r="P156" s="116">
        <v>2.17</v>
      </c>
      <c r="Q156" s="117"/>
      <c r="R156" s="238">
        <v>250</v>
      </c>
      <c r="S156" s="238">
        <v>125</v>
      </c>
      <c r="T156" s="114"/>
      <c r="U156" s="118">
        <v>200</v>
      </c>
      <c r="V156" s="118">
        <v>100</v>
      </c>
      <c r="W156" s="150" t="s">
        <v>266</v>
      </c>
      <c r="X156" s="150" t="s">
        <v>267</v>
      </c>
    </row>
    <row r="157" spans="1:24" s="128" customFormat="1" x14ac:dyDescent="0.25">
      <c r="A157" s="113">
        <v>104900</v>
      </c>
      <c r="B157" s="27" t="s">
        <v>271</v>
      </c>
      <c r="C157" s="22"/>
      <c r="D157" s="23" t="str">
        <f t="shared" si="95"/>
        <v/>
      </c>
      <c r="E157" s="23" t="str">
        <f t="shared" si="148"/>
        <v/>
      </c>
      <c r="F157" s="23" t="str">
        <f t="shared" si="101"/>
        <v/>
      </c>
      <c r="G157" s="23" t="str">
        <f t="shared" si="100"/>
        <v/>
      </c>
      <c r="H157" s="23" t="str">
        <f t="shared" si="98"/>
        <v/>
      </c>
      <c r="I157" s="23" t="str">
        <f t="shared" si="99"/>
        <v/>
      </c>
      <c r="J157" s="114"/>
      <c r="K157" s="115">
        <v>108657</v>
      </c>
      <c r="L157" s="115">
        <v>104900</v>
      </c>
      <c r="M157" s="115">
        <f>106152+1200</f>
        <v>107352</v>
      </c>
      <c r="N157" s="115">
        <f>107404+1200</f>
        <v>108604</v>
      </c>
      <c r="O157" s="115">
        <f>108657+1100</f>
        <v>109757</v>
      </c>
      <c r="P157" s="116">
        <v>2.17</v>
      </c>
      <c r="Q157" s="117"/>
      <c r="R157" s="238">
        <v>250</v>
      </c>
      <c r="S157" s="238">
        <v>125</v>
      </c>
      <c r="T157" s="114"/>
      <c r="U157" s="118">
        <v>200</v>
      </c>
      <c r="V157" s="118">
        <v>100</v>
      </c>
      <c r="W157" s="150" t="s">
        <v>273</v>
      </c>
      <c r="X157" s="150" t="s">
        <v>275</v>
      </c>
    </row>
    <row r="158" spans="1:24" s="128" customFormat="1" x14ac:dyDescent="0.25">
      <c r="A158" s="113">
        <f>120400</f>
        <v>120400</v>
      </c>
      <c r="B158" s="27" t="s">
        <v>331</v>
      </c>
      <c r="C158" s="22"/>
      <c r="D158" s="23" t="str">
        <f t="shared" si="95"/>
        <v/>
      </c>
      <c r="E158" s="23" t="str">
        <f t="shared" si="148"/>
        <v/>
      </c>
      <c r="F158" s="23" t="str">
        <f t="shared" si="101"/>
        <v/>
      </c>
      <c r="G158" s="23" t="str">
        <f t="shared" si="100"/>
        <v/>
      </c>
      <c r="H158" s="23" t="str">
        <f t="shared" si="98"/>
        <v/>
      </c>
      <c r="I158" s="23" t="str">
        <f t="shared" si="99"/>
        <v/>
      </c>
      <c r="J158" s="114"/>
      <c r="K158" s="115">
        <f>121579</f>
        <v>121579</v>
      </c>
      <c r="L158" s="115">
        <f>120400</f>
        <v>120400</v>
      </c>
      <c r="M158" s="115">
        <f>120793+1200</f>
        <v>121993</v>
      </c>
      <c r="N158" s="115">
        <f>121186+1200</f>
        <v>122386</v>
      </c>
      <c r="O158" s="115">
        <f>121579+1100</f>
        <v>122679</v>
      </c>
      <c r="P158" s="116">
        <v>2.17</v>
      </c>
      <c r="Q158" s="117"/>
      <c r="R158" s="238">
        <v>250</v>
      </c>
      <c r="S158" s="238">
        <v>125</v>
      </c>
      <c r="T158" s="114"/>
      <c r="U158" s="118">
        <v>200</v>
      </c>
      <c r="V158" s="118">
        <v>100</v>
      </c>
      <c r="W158" s="150" t="s">
        <v>383</v>
      </c>
      <c r="X158" s="150" t="s">
        <v>387</v>
      </c>
    </row>
    <row r="159" spans="1:24" s="128" customFormat="1" x14ac:dyDescent="0.25">
      <c r="A159" s="113">
        <v>126900</v>
      </c>
      <c r="B159" s="27" t="s">
        <v>332</v>
      </c>
      <c r="C159" s="22"/>
      <c r="D159" s="23" t="str">
        <f t="shared" si="95"/>
        <v/>
      </c>
      <c r="E159" s="23" t="str">
        <f t="shared" si="148"/>
        <v/>
      </c>
      <c r="F159" s="23" t="str">
        <f t="shared" si="101"/>
        <v/>
      </c>
      <c r="G159" s="23" t="str">
        <f t="shared" si="100"/>
        <v/>
      </c>
      <c r="H159" s="23" t="str">
        <f t="shared" si="98"/>
        <v/>
      </c>
      <c r="I159" s="23" t="str">
        <f t="shared" si="99"/>
        <v/>
      </c>
      <c r="J159" s="114"/>
      <c r="K159" s="115">
        <f>127921</f>
        <v>127921</v>
      </c>
      <c r="L159" s="115">
        <f>126900</f>
        <v>126900</v>
      </c>
      <c r="M159" s="115">
        <f>127240+1200</f>
        <v>128440</v>
      </c>
      <c r="N159" s="115">
        <f>127580+1200</f>
        <v>128780</v>
      </c>
      <c r="O159" s="115">
        <f>127921+1100</f>
        <v>129021</v>
      </c>
      <c r="P159" s="116">
        <v>2.17</v>
      </c>
      <c r="Q159" s="117"/>
      <c r="R159" s="238">
        <v>250</v>
      </c>
      <c r="S159" s="238">
        <v>125</v>
      </c>
      <c r="T159" s="114"/>
      <c r="U159" s="118">
        <v>200</v>
      </c>
      <c r="V159" s="118">
        <v>100</v>
      </c>
      <c r="W159" s="150" t="s">
        <v>388</v>
      </c>
      <c r="X159" s="150" t="s">
        <v>389</v>
      </c>
    </row>
    <row r="160" spans="1:24" s="128" customFormat="1" x14ac:dyDescent="0.25">
      <c r="A160" s="113">
        <v>123900</v>
      </c>
      <c r="B160" s="27" t="s">
        <v>404</v>
      </c>
      <c r="C160" s="22"/>
      <c r="D160" s="23" t="str">
        <f t="shared" si="95"/>
        <v/>
      </c>
      <c r="E160" s="23" t="str">
        <f>IF(C160&gt;=1,(K160-C160)*(1+P160*$E$4/100)/$E$4+Q160+S160,"")</f>
        <v/>
      </c>
      <c r="F160" s="23" t="str">
        <f t="shared" si="101"/>
        <v/>
      </c>
      <c r="G160" s="23" t="str">
        <f t="shared" si="100"/>
        <v/>
      </c>
      <c r="H160" s="23" t="str">
        <f t="shared" si="98"/>
        <v/>
      </c>
      <c r="I160" s="23" t="str">
        <f t="shared" si="99"/>
        <v/>
      </c>
      <c r="J160" s="114"/>
      <c r="K160" s="115">
        <v>125079</v>
      </c>
      <c r="L160" s="115">
        <v>123900</v>
      </c>
      <c r="M160" s="115">
        <f>124293+1200</f>
        <v>125493</v>
      </c>
      <c r="N160" s="115">
        <f>124686+1200</f>
        <v>125886</v>
      </c>
      <c r="O160" s="115">
        <f>125079+1100</f>
        <v>126179</v>
      </c>
      <c r="P160" s="116">
        <v>2.17</v>
      </c>
      <c r="Q160" s="117"/>
      <c r="R160" s="238">
        <v>250</v>
      </c>
      <c r="S160" s="238">
        <v>125</v>
      </c>
      <c r="T160" s="114"/>
      <c r="U160" s="118">
        <v>200</v>
      </c>
      <c r="V160" s="118">
        <v>100</v>
      </c>
      <c r="W160" s="150" t="s">
        <v>402</v>
      </c>
      <c r="X160" s="150" t="s">
        <v>405</v>
      </c>
    </row>
    <row r="161" spans="1:25" s="128" customFormat="1" x14ac:dyDescent="0.25">
      <c r="A161" s="113">
        <v>129900</v>
      </c>
      <c r="B161" s="27" t="s">
        <v>406</v>
      </c>
      <c r="C161" s="22"/>
      <c r="D161" s="23" t="str">
        <f t="shared" si="95"/>
        <v/>
      </c>
      <c r="E161" s="23" t="str">
        <f t="shared" ref="E161:E168" si="149">IF(C161&gt;=1,(K161-C161)*(1+P161*$E$4/100)/$E$4+Q161+S161,"")</f>
        <v/>
      </c>
      <c r="F161" s="23" t="str">
        <f t="shared" si="101"/>
        <v/>
      </c>
      <c r="G161" s="23" t="str">
        <f t="shared" si="100"/>
        <v/>
      </c>
      <c r="H161" s="23" t="str">
        <f t="shared" si="98"/>
        <v/>
      </c>
      <c r="I161" s="23" t="str">
        <f t="shared" si="99"/>
        <v/>
      </c>
      <c r="J161" s="114"/>
      <c r="K161" s="115">
        <f>130921</f>
        <v>130921</v>
      </c>
      <c r="L161" s="115">
        <f>129900</f>
        <v>129900</v>
      </c>
      <c r="M161" s="115">
        <f>130240+1200</f>
        <v>131440</v>
      </c>
      <c r="N161" s="115">
        <f>130580+1200</f>
        <v>131780</v>
      </c>
      <c r="O161" s="115">
        <f>130921+1100</f>
        <v>132021</v>
      </c>
      <c r="P161" s="116">
        <v>2.17</v>
      </c>
      <c r="Q161" s="117"/>
      <c r="R161" s="238">
        <v>250</v>
      </c>
      <c r="S161" s="238">
        <v>125</v>
      </c>
      <c r="T161" s="114"/>
      <c r="U161" s="118">
        <v>200</v>
      </c>
      <c r="V161" s="118">
        <v>100</v>
      </c>
      <c r="W161" s="150" t="s">
        <v>402</v>
      </c>
      <c r="X161" s="150" t="s">
        <v>407</v>
      </c>
    </row>
    <row r="162" spans="1:25" s="128" customFormat="1" x14ac:dyDescent="0.25">
      <c r="A162" s="113">
        <v>125900</v>
      </c>
      <c r="B162" s="210" t="s">
        <v>555</v>
      </c>
      <c r="C162" s="22"/>
      <c r="D162" s="23" t="str">
        <f t="shared" ref="D162:D163" si="150">IF(C162&gt;=1,(K162-C162)*(1+P162*$D$4/100)/$D$4+Q162+R162,"")</f>
        <v/>
      </c>
      <c r="E162" s="23" t="str">
        <f>IF(C162&gt;=1,(K162-C162)*(1+P162*$E$4/100)/$E$4+Q162+S162,"")</f>
        <v/>
      </c>
      <c r="F162" s="23" t="str">
        <f t="shared" ref="F162:F163" si="151">IF(C162&gt;=1,(K162-C162)*(1+$P162*$F$4/100)/$F$4+Q162+S162, "")</f>
        <v/>
      </c>
      <c r="G162" s="23" t="str">
        <f t="shared" ref="G162:G163" si="152">IF(C162&gt;=1, (K162-C162)*(1+$P162*$G$4/100)/$G$4+Q162+S162,"")</f>
        <v/>
      </c>
      <c r="H162" s="23" t="str">
        <f t="shared" ref="H162:H163" si="153">IF(C162&gt;=1, (K162-C162)*(1+$P162*$H$4/100)/$H$4+Q162+S162, "")</f>
        <v/>
      </c>
      <c r="I162" s="23" t="str">
        <f t="shared" ref="I162:I163" si="154">IF(C162&gt;=1, (K162-C162)*(1+$P162*$I$4/100)/$I$4+Q162+S162, "")</f>
        <v/>
      </c>
      <c r="J162" s="114"/>
      <c r="K162" s="115">
        <v>127079</v>
      </c>
      <c r="L162" s="115">
        <v>125900</v>
      </c>
      <c r="M162" s="115">
        <f>126293+1200</f>
        <v>127493</v>
      </c>
      <c r="N162" s="115">
        <f>126686+1200</f>
        <v>127886</v>
      </c>
      <c r="O162" s="115">
        <f>127079+1100</f>
        <v>128179</v>
      </c>
      <c r="P162" s="116">
        <v>2.17</v>
      </c>
      <c r="Q162" s="117"/>
      <c r="R162" s="238">
        <v>250</v>
      </c>
      <c r="S162" s="238">
        <v>125</v>
      </c>
      <c r="T162" s="114"/>
      <c r="U162" s="118">
        <v>200</v>
      </c>
      <c r="V162" s="118">
        <v>100</v>
      </c>
      <c r="W162" s="150" t="s">
        <v>556</v>
      </c>
      <c r="X162" s="150" t="s">
        <v>557</v>
      </c>
    </row>
    <row r="163" spans="1:25" s="128" customFormat="1" x14ac:dyDescent="0.25">
      <c r="A163" s="113">
        <v>145900</v>
      </c>
      <c r="B163" s="210" t="s">
        <v>559</v>
      </c>
      <c r="C163" s="22"/>
      <c r="D163" s="23" t="str">
        <f t="shared" si="150"/>
        <v/>
      </c>
      <c r="E163" s="23" t="str">
        <f t="shared" ref="E163" si="155">IF(C163&gt;=1,(K163-C163)*(1+P163*$E$4/100)/$E$4+Q163+S163,"")</f>
        <v/>
      </c>
      <c r="F163" s="23" t="str">
        <f t="shared" si="151"/>
        <v/>
      </c>
      <c r="G163" s="23" t="str">
        <f t="shared" si="152"/>
        <v/>
      </c>
      <c r="H163" s="23" t="str">
        <f t="shared" si="153"/>
        <v/>
      </c>
      <c r="I163" s="23" t="str">
        <f t="shared" si="154"/>
        <v/>
      </c>
      <c r="J163" s="114"/>
      <c r="K163" s="115">
        <v>146921</v>
      </c>
      <c r="L163" s="115">
        <v>145900</v>
      </c>
      <c r="M163" s="115">
        <f>146240+1200</f>
        <v>147440</v>
      </c>
      <c r="N163" s="115">
        <f>146581+1200</f>
        <v>147781</v>
      </c>
      <c r="O163" s="115">
        <f>146921+1100</f>
        <v>148021</v>
      </c>
      <c r="P163" s="116">
        <v>2.17</v>
      </c>
      <c r="Q163" s="117"/>
      <c r="R163" s="238">
        <v>250</v>
      </c>
      <c r="S163" s="238">
        <v>125</v>
      </c>
      <c r="T163" s="114"/>
      <c r="U163" s="118">
        <v>200</v>
      </c>
      <c r="V163" s="118">
        <v>100</v>
      </c>
      <c r="W163" s="150" t="s">
        <v>556</v>
      </c>
      <c r="X163" s="150" t="s">
        <v>558</v>
      </c>
    </row>
    <row r="164" spans="1:25" s="128" customFormat="1" x14ac:dyDescent="0.25">
      <c r="A164" s="113">
        <v>96200</v>
      </c>
      <c r="B164" s="27" t="s">
        <v>51</v>
      </c>
      <c r="C164" s="22"/>
      <c r="D164" s="23" t="str">
        <f t="shared" si="95"/>
        <v/>
      </c>
      <c r="E164" s="23" t="str">
        <f t="shared" si="149"/>
        <v/>
      </c>
      <c r="F164" s="23" t="str">
        <f t="shared" si="101"/>
        <v/>
      </c>
      <c r="G164" s="23" t="str">
        <f t="shared" si="100"/>
        <v/>
      </c>
      <c r="H164" s="23" t="str">
        <f t="shared" si="98"/>
        <v/>
      </c>
      <c r="I164" s="23" t="str">
        <f t="shared" si="99"/>
        <v/>
      </c>
      <c r="J164" s="114"/>
      <c r="K164" s="115">
        <v>97800</v>
      </c>
      <c r="L164" s="115">
        <v>95100</v>
      </c>
      <c r="M164" s="115">
        <f>96960+240</f>
        <v>97200</v>
      </c>
      <c r="N164" s="115">
        <f>97860+240</f>
        <v>98100</v>
      </c>
      <c r="O164" s="115">
        <f>98660+240</f>
        <v>98900</v>
      </c>
      <c r="P164" s="116">
        <v>2.17</v>
      </c>
      <c r="Q164" s="117"/>
      <c r="R164" s="238">
        <v>250</v>
      </c>
      <c r="S164" s="238">
        <v>125</v>
      </c>
      <c r="T164" s="114"/>
      <c r="U164" s="118">
        <v>200</v>
      </c>
      <c r="V164" s="118">
        <v>50</v>
      </c>
      <c r="W164" s="119"/>
      <c r="X164" s="119"/>
    </row>
    <row r="165" spans="1:25" x14ac:dyDescent="0.25">
      <c r="A165" s="113">
        <v>63900</v>
      </c>
      <c r="B165" s="27" t="s">
        <v>99</v>
      </c>
      <c r="C165" s="22"/>
      <c r="D165" s="23" t="str">
        <f t="shared" si="95"/>
        <v/>
      </c>
      <c r="E165" s="23" t="str">
        <f t="shared" si="149"/>
        <v/>
      </c>
      <c r="F165" s="23" t="str">
        <f t="shared" si="101"/>
        <v/>
      </c>
      <c r="G165" s="23" t="str">
        <f t="shared" si="100"/>
        <v/>
      </c>
      <c r="H165" s="23" t="str">
        <f t="shared" si="98"/>
        <v/>
      </c>
      <c r="I165" s="23" t="str">
        <f t="shared" si="99"/>
        <v/>
      </c>
      <c r="J165" s="114"/>
      <c r="K165" s="115">
        <v>67500</v>
      </c>
      <c r="L165" s="115">
        <v>66100</v>
      </c>
      <c r="M165" s="115">
        <f>67526+240</f>
        <v>67766</v>
      </c>
      <c r="N165" s="115">
        <f>67993+240</f>
        <v>68233</v>
      </c>
      <c r="O165" s="115">
        <f>68360+240</f>
        <v>68600</v>
      </c>
      <c r="P165" s="116">
        <v>2.17</v>
      </c>
      <c r="Q165" s="117"/>
      <c r="R165" s="238">
        <v>250</v>
      </c>
      <c r="S165" s="238">
        <v>125</v>
      </c>
      <c r="T165" s="114"/>
      <c r="U165" s="118">
        <v>200</v>
      </c>
      <c r="V165" s="118">
        <v>100</v>
      </c>
      <c r="W165" s="119"/>
      <c r="X165" s="119"/>
    </row>
    <row r="166" spans="1:25" s="128" customFormat="1" x14ac:dyDescent="0.25">
      <c r="A166" s="120">
        <v>73400</v>
      </c>
      <c r="B166" s="27" t="s">
        <v>291</v>
      </c>
      <c r="C166" s="22"/>
      <c r="D166" s="23" t="str">
        <f t="shared" si="95"/>
        <v/>
      </c>
      <c r="E166" s="23" t="str">
        <f t="shared" si="149"/>
        <v/>
      </c>
      <c r="F166" s="23" t="str">
        <f t="shared" si="101"/>
        <v/>
      </c>
      <c r="G166" s="23" t="str">
        <f t="shared" si="100"/>
        <v/>
      </c>
      <c r="H166" s="23" t="str">
        <f t="shared" si="98"/>
        <v/>
      </c>
      <c r="I166" s="23" t="str">
        <f t="shared" si="99"/>
        <v/>
      </c>
      <c r="J166" s="121"/>
      <c r="K166" s="122">
        <f>76241</f>
        <v>76241</v>
      </c>
      <c r="L166" s="122">
        <f>75264</f>
        <v>75264</v>
      </c>
      <c r="M166" s="115">
        <f>75589+1200</f>
        <v>76789</v>
      </c>
      <c r="N166" s="115">
        <f>75915+1200</f>
        <v>77115</v>
      </c>
      <c r="O166" s="115">
        <f>76241+1100</f>
        <v>77341</v>
      </c>
      <c r="P166" s="123">
        <v>2.17</v>
      </c>
      <c r="Q166" s="124"/>
      <c r="R166" s="238">
        <v>250</v>
      </c>
      <c r="S166" s="238">
        <v>125</v>
      </c>
      <c r="T166" s="121"/>
      <c r="U166" s="125">
        <v>200</v>
      </c>
      <c r="V166" s="118">
        <v>50</v>
      </c>
      <c r="W166" s="150" t="s">
        <v>383</v>
      </c>
      <c r="X166" s="150" t="s">
        <v>391</v>
      </c>
    </row>
    <row r="167" spans="1:25" s="128" customFormat="1" x14ac:dyDescent="0.25">
      <c r="A167" s="120">
        <v>146000</v>
      </c>
      <c r="B167" s="27" t="s">
        <v>97</v>
      </c>
      <c r="C167" s="22"/>
      <c r="D167" s="23" t="str">
        <f t="shared" si="95"/>
        <v/>
      </c>
      <c r="E167" s="23" t="str">
        <f t="shared" si="149"/>
        <v/>
      </c>
      <c r="F167" s="23" t="str">
        <f t="shared" si="101"/>
        <v/>
      </c>
      <c r="G167" s="23" t="str">
        <f t="shared" si="100"/>
        <v/>
      </c>
      <c r="H167" s="23" t="str">
        <f t="shared" si="98"/>
        <v/>
      </c>
      <c r="I167" s="23" t="str">
        <f t="shared" si="99"/>
        <v/>
      </c>
      <c r="J167" s="121"/>
      <c r="K167" s="122">
        <v>150380</v>
      </c>
      <c r="L167" s="122">
        <v>146100</v>
      </c>
      <c r="M167" s="115">
        <f>147526+1200</f>
        <v>148726</v>
      </c>
      <c r="N167" s="115">
        <f>148952+1200</f>
        <v>150152</v>
      </c>
      <c r="O167" s="115">
        <f>150380+1100</f>
        <v>151480</v>
      </c>
      <c r="P167" s="123">
        <v>2.17</v>
      </c>
      <c r="Q167" s="124"/>
      <c r="R167" s="238">
        <v>250</v>
      </c>
      <c r="S167" s="238">
        <v>125</v>
      </c>
      <c r="T167" s="121"/>
      <c r="U167" s="125">
        <v>200</v>
      </c>
      <c r="V167" s="118">
        <v>50</v>
      </c>
      <c r="W167" s="119"/>
      <c r="X167" s="119"/>
    </row>
    <row r="168" spans="1:25" s="128" customFormat="1" x14ac:dyDescent="0.25">
      <c r="A168" s="120">
        <v>139000</v>
      </c>
      <c r="B168" s="27" t="s">
        <v>131</v>
      </c>
      <c r="C168" s="22"/>
      <c r="D168" s="23" t="str">
        <f t="shared" si="95"/>
        <v/>
      </c>
      <c r="E168" s="23" t="str">
        <f t="shared" si="149"/>
        <v/>
      </c>
      <c r="F168" s="23" t="str">
        <f t="shared" si="101"/>
        <v/>
      </c>
      <c r="G168" s="23" t="str">
        <f>IF(C168&gt;=1, (K168-C168)*(1+$P168*$G$4/100)/$G$4+Q168+S168,"")</f>
        <v/>
      </c>
      <c r="H168" s="23" t="str">
        <f t="shared" si="98"/>
        <v/>
      </c>
      <c r="I168" s="23" t="str">
        <f t="shared" si="99"/>
        <v/>
      </c>
      <c r="J168" s="121"/>
      <c r="K168" s="122">
        <v>144242</v>
      </c>
      <c r="L168" s="122">
        <v>138999</v>
      </c>
      <c r="M168" s="115">
        <f>141706+240</f>
        <v>141946</v>
      </c>
      <c r="N168" s="115">
        <f>143454+240</f>
        <v>143694</v>
      </c>
      <c r="O168" s="115">
        <f>145102+240</f>
        <v>145342</v>
      </c>
      <c r="P168" s="123">
        <v>2.17</v>
      </c>
      <c r="Q168" s="124"/>
      <c r="R168" s="238">
        <v>250</v>
      </c>
      <c r="S168" s="238">
        <v>125</v>
      </c>
      <c r="T168" s="121"/>
      <c r="U168" s="125">
        <v>200</v>
      </c>
      <c r="V168" s="118">
        <v>100</v>
      </c>
      <c r="W168" s="119"/>
      <c r="X168" s="119"/>
    </row>
    <row r="169" spans="1:25" s="128" customFormat="1" x14ac:dyDescent="0.25">
      <c r="A169" s="120">
        <v>142900</v>
      </c>
      <c r="B169" s="27" t="s">
        <v>138</v>
      </c>
      <c r="C169" s="22"/>
      <c r="D169" s="23" t="str">
        <f t="shared" si="95"/>
        <v/>
      </c>
      <c r="E169" s="23" t="str">
        <f>IF(C169&gt;=1,(K169-C169)*(1+P169*$E$4/100)/$E$4+Q169+S169,"")</f>
        <v/>
      </c>
      <c r="F169" s="23" t="str">
        <f t="shared" si="101"/>
        <v/>
      </c>
      <c r="G169" s="23" t="str">
        <f t="shared" si="100"/>
        <v/>
      </c>
      <c r="H169" s="23" t="str">
        <f t="shared" si="98"/>
        <v/>
      </c>
      <c r="I169" s="23" t="str">
        <f t="shared" si="99"/>
        <v/>
      </c>
      <c r="J169" s="121"/>
      <c r="K169" s="122">
        <v>148142</v>
      </c>
      <c r="L169" s="122">
        <v>142900</v>
      </c>
      <c r="M169" s="115">
        <f>145607+240</f>
        <v>145847</v>
      </c>
      <c r="N169" s="115">
        <f>147354+240</f>
        <v>147594</v>
      </c>
      <c r="O169" s="115">
        <f>149002+240</f>
        <v>149242</v>
      </c>
      <c r="P169" s="123">
        <v>2.17</v>
      </c>
      <c r="Q169" s="124"/>
      <c r="R169" s="238">
        <v>250</v>
      </c>
      <c r="S169" s="238">
        <v>125</v>
      </c>
      <c r="T169" s="121"/>
      <c r="U169" s="125">
        <v>200</v>
      </c>
      <c r="V169" s="118">
        <v>100</v>
      </c>
      <c r="W169" s="119"/>
      <c r="X169" s="119"/>
    </row>
    <row r="170" spans="1:25" s="128" customFormat="1" x14ac:dyDescent="0.25">
      <c r="A170" s="120">
        <v>55900</v>
      </c>
      <c r="B170" s="27" t="s">
        <v>30</v>
      </c>
      <c r="C170" s="22"/>
      <c r="D170" s="23" t="str">
        <f t="shared" si="95"/>
        <v/>
      </c>
      <c r="E170" s="23" t="str">
        <f t="shared" ref="E170:E175" si="156">IF(C170&gt;=1,(K170-C170)*(1+P170*$E$4/100)/$E$4+Q170+S170,"")</f>
        <v/>
      </c>
      <c r="F170" s="23" t="str">
        <f t="shared" si="101"/>
        <v/>
      </c>
      <c r="G170" s="23" t="str">
        <f t="shared" si="100"/>
        <v/>
      </c>
      <c r="H170" s="23" t="str">
        <f t="shared" si="98"/>
        <v/>
      </c>
      <c r="I170" s="23" t="str">
        <f t="shared" si="99"/>
        <v/>
      </c>
      <c r="J170" s="121"/>
      <c r="K170" s="115">
        <f>56700+1200</f>
        <v>57900</v>
      </c>
      <c r="L170" s="115">
        <f>56500+1200</f>
        <v>57700</v>
      </c>
      <c r="M170" s="115">
        <f>58567+60+240</f>
        <v>58867</v>
      </c>
      <c r="N170" s="115">
        <f>58634+60+240</f>
        <v>58934</v>
      </c>
      <c r="O170" s="115">
        <f>58600+60+240</f>
        <v>58900</v>
      </c>
      <c r="P170" s="123">
        <v>2.17</v>
      </c>
      <c r="Q170" s="124"/>
      <c r="R170" s="238">
        <v>250</v>
      </c>
      <c r="S170" s="238">
        <v>125</v>
      </c>
      <c r="T170" s="121"/>
      <c r="U170" s="125">
        <v>200</v>
      </c>
      <c r="V170" s="125">
        <v>50</v>
      </c>
      <c r="W170" s="126"/>
      <c r="X170" s="126"/>
    </row>
    <row r="171" spans="1:25" s="128" customFormat="1" x14ac:dyDescent="0.25">
      <c r="A171" s="113">
        <v>53900</v>
      </c>
      <c r="B171" s="27" t="s">
        <v>31</v>
      </c>
      <c r="C171" s="22"/>
      <c r="D171" s="23" t="str">
        <f t="shared" si="95"/>
        <v/>
      </c>
      <c r="E171" s="23" t="str">
        <f t="shared" si="156"/>
        <v/>
      </c>
      <c r="F171" s="23" t="str">
        <f t="shared" si="101"/>
        <v/>
      </c>
      <c r="G171" s="23" t="str">
        <f t="shared" si="100"/>
        <v/>
      </c>
      <c r="H171" s="23" t="str">
        <f t="shared" si="98"/>
        <v/>
      </c>
      <c r="I171" s="23" t="str">
        <f t="shared" si="99"/>
        <v/>
      </c>
      <c r="J171" s="114"/>
      <c r="K171" s="115">
        <v>55800</v>
      </c>
      <c r="L171" s="115">
        <v>55600</v>
      </c>
      <c r="M171" s="115">
        <f>56626+240</f>
        <v>56866</v>
      </c>
      <c r="N171" s="115">
        <f>56693+240</f>
        <v>56933</v>
      </c>
      <c r="O171" s="115">
        <f>56660+240</f>
        <v>56900</v>
      </c>
      <c r="P171" s="116">
        <v>2.17</v>
      </c>
      <c r="Q171" s="117"/>
      <c r="R171" s="238">
        <v>250</v>
      </c>
      <c r="S171" s="238">
        <v>125</v>
      </c>
      <c r="T171" s="114"/>
      <c r="U171" s="118">
        <v>200</v>
      </c>
      <c r="V171" s="118">
        <v>50</v>
      </c>
      <c r="W171" s="119"/>
      <c r="X171" s="119"/>
    </row>
    <row r="172" spans="1:25" x14ac:dyDescent="0.25">
      <c r="A172" s="120">
        <f>65200+1000</f>
        <v>66200</v>
      </c>
      <c r="B172" s="27" t="s">
        <v>32</v>
      </c>
      <c r="C172" s="22"/>
      <c r="D172" s="23" t="str">
        <f t="shared" si="95"/>
        <v/>
      </c>
      <c r="E172" s="23" t="str">
        <f t="shared" si="156"/>
        <v/>
      </c>
      <c r="F172" s="23" t="str">
        <f t="shared" si="101"/>
        <v/>
      </c>
      <c r="G172" s="23" t="str">
        <f t="shared" si="100"/>
        <v/>
      </c>
      <c r="H172" s="23" t="str">
        <f t="shared" si="98"/>
        <v/>
      </c>
      <c r="I172" s="23" t="str">
        <f t="shared" si="99"/>
        <v/>
      </c>
      <c r="J172" s="121"/>
      <c r="K172" s="122">
        <v>69392</v>
      </c>
      <c r="L172" s="122">
        <v>68300</v>
      </c>
      <c r="M172" s="115">
        <f>69564+60+240</f>
        <v>69864</v>
      </c>
      <c r="N172" s="115">
        <f>69928+60+240</f>
        <v>70228</v>
      </c>
      <c r="O172" s="115">
        <f>70192+60+240</f>
        <v>70492</v>
      </c>
      <c r="P172" s="123">
        <v>2.17</v>
      </c>
      <c r="Q172" s="124"/>
      <c r="R172" s="238">
        <v>250</v>
      </c>
      <c r="S172" s="238">
        <v>125</v>
      </c>
      <c r="T172" s="121"/>
      <c r="U172" s="125">
        <v>200</v>
      </c>
      <c r="V172" s="125">
        <v>50</v>
      </c>
      <c r="W172" s="126"/>
      <c r="X172" s="126"/>
    </row>
    <row r="173" spans="1:25" x14ac:dyDescent="0.25">
      <c r="A173" s="120">
        <v>169000</v>
      </c>
      <c r="B173" s="129" t="s">
        <v>370</v>
      </c>
      <c r="C173" s="22"/>
      <c r="D173" s="23" t="str">
        <f t="shared" si="95"/>
        <v/>
      </c>
      <c r="E173" s="23" t="str">
        <f t="shared" si="156"/>
        <v/>
      </c>
      <c r="F173" s="23" t="str">
        <f t="shared" si="101"/>
        <v/>
      </c>
      <c r="G173" s="23" t="str">
        <f t="shared" si="100"/>
        <v/>
      </c>
      <c r="H173" s="23" t="str">
        <f t="shared" si="98"/>
        <v/>
      </c>
      <c r="I173" s="23" t="str">
        <f t="shared" si="99"/>
        <v/>
      </c>
      <c r="J173" s="121"/>
      <c r="K173" s="122">
        <v>170333</v>
      </c>
      <c r="L173" s="122">
        <v>169000</v>
      </c>
      <c r="M173" s="115">
        <f>169444+1200</f>
        <v>170644</v>
      </c>
      <c r="N173" s="115">
        <f>169888+1200</f>
        <v>171088</v>
      </c>
      <c r="O173" s="115">
        <f>170333+1100</f>
        <v>171433</v>
      </c>
      <c r="P173" s="123">
        <v>2.17</v>
      </c>
      <c r="Q173" s="124"/>
      <c r="R173" s="238">
        <v>250</v>
      </c>
      <c r="S173" s="238">
        <v>125</v>
      </c>
      <c r="T173" s="121"/>
      <c r="U173" s="125">
        <v>200</v>
      </c>
      <c r="V173" s="125">
        <v>50</v>
      </c>
      <c r="W173" s="126">
        <v>44072</v>
      </c>
      <c r="X173" s="126" t="s">
        <v>270</v>
      </c>
    </row>
    <row r="174" spans="1:25" x14ac:dyDescent="0.25">
      <c r="A174" s="120">
        <v>180000</v>
      </c>
      <c r="B174" s="129" t="s">
        <v>649</v>
      </c>
      <c r="C174" s="22"/>
      <c r="D174" s="23" t="str">
        <f t="shared" si="95"/>
        <v/>
      </c>
      <c r="E174" s="23" t="str">
        <f t="shared" si="156"/>
        <v/>
      </c>
      <c r="F174" s="23" t="str">
        <f t="shared" si="101"/>
        <v/>
      </c>
      <c r="G174" s="23" t="str">
        <f t="shared" si="100"/>
        <v/>
      </c>
      <c r="H174" s="23" t="str">
        <f t="shared" si="98"/>
        <v/>
      </c>
      <c r="I174" s="23" t="str">
        <f t="shared" si="99"/>
        <v/>
      </c>
      <c r="J174" s="121"/>
      <c r="K174" s="122">
        <v>181333</v>
      </c>
      <c r="L174" s="122">
        <f>180000</f>
        <v>180000</v>
      </c>
      <c r="M174" s="115">
        <f>180444+1200</f>
        <v>181644</v>
      </c>
      <c r="N174" s="115">
        <f>180888+1200</f>
        <v>182088</v>
      </c>
      <c r="O174" s="115">
        <f>181333+1100</f>
        <v>182433</v>
      </c>
      <c r="P174" s="123">
        <v>2.17</v>
      </c>
      <c r="Q174" s="124"/>
      <c r="R174" s="238">
        <v>250</v>
      </c>
      <c r="S174" s="238">
        <v>125</v>
      </c>
      <c r="T174" s="121"/>
      <c r="U174" s="125">
        <v>200</v>
      </c>
      <c r="V174" s="125">
        <v>50</v>
      </c>
      <c r="W174" s="127" t="s">
        <v>651</v>
      </c>
      <c r="X174" s="126" t="s">
        <v>650</v>
      </c>
    </row>
    <row r="175" spans="1:25" s="128" customFormat="1" x14ac:dyDescent="0.25">
      <c r="A175" s="120">
        <v>90900</v>
      </c>
      <c r="B175" s="27" t="s">
        <v>623</v>
      </c>
      <c r="C175" s="22"/>
      <c r="D175" s="23" t="str">
        <f t="shared" si="95"/>
        <v/>
      </c>
      <c r="E175" s="23" t="str">
        <f t="shared" si="156"/>
        <v/>
      </c>
      <c r="F175" s="23" t="str">
        <f t="shared" si="101"/>
        <v/>
      </c>
      <c r="G175" s="23" t="str">
        <f t="shared" si="100"/>
        <v/>
      </c>
      <c r="H175" s="23" t="str">
        <f t="shared" si="98"/>
        <v/>
      </c>
      <c r="I175" s="23" t="str">
        <f t="shared" si="99"/>
        <v/>
      </c>
      <c r="J175" s="121"/>
      <c r="K175" s="122">
        <f>92615</f>
        <v>92615</v>
      </c>
      <c r="L175" s="122">
        <f>90900</f>
        <v>90900</v>
      </c>
      <c r="M175" s="115">
        <f>91471+1200</f>
        <v>92671</v>
      </c>
      <c r="N175" s="115">
        <f>92043+1200</f>
        <v>93243</v>
      </c>
      <c r="O175" s="115">
        <f>92615+1100</f>
        <v>93715</v>
      </c>
      <c r="P175" s="123">
        <v>2.17</v>
      </c>
      <c r="Q175" s="124"/>
      <c r="R175" s="238">
        <v>250</v>
      </c>
      <c r="S175" s="238">
        <v>125</v>
      </c>
      <c r="T175" s="121"/>
      <c r="U175" s="125">
        <v>200</v>
      </c>
      <c r="V175" s="125">
        <v>50</v>
      </c>
      <c r="W175" s="127" t="s">
        <v>624</v>
      </c>
      <c r="X175" s="126" t="s">
        <v>625</v>
      </c>
      <c r="Y175" s="4"/>
    </row>
    <row r="176" spans="1:25" s="128" customFormat="1" x14ac:dyDescent="0.25">
      <c r="A176" s="120">
        <v>240500</v>
      </c>
      <c r="B176" s="27" t="s">
        <v>292</v>
      </c>
      <c r="C176" s="22"/>
      <c r="D176" s="23" t="str">
        <f t="shared" si="95"/>
        <v/>
      </c>
      <c r="E176" s="23" t="str">
        <f>IF(C176&gt;=1,(K176-C176)*(1+P176*$E$4/100)/$E$4+Q176+S176,"")</f>
        <v/>
      </c>
      <c r="F176" s="23" t="str">
        <f t="shared" si="101"/>
        <v/>
      </c>
      <c r="G176" s="23" t="str">
        <f t="shared" si="100"/>
        <v/>
      </c>
      <c r="H176" s="23" t="str">
        <f t="shared" si="98"/>
        <v/>
      </c>
      <c r="I176" s="23" t="str">
        <f t="shared" si="99"/>
        <v/>
      </c>
      <c r="J176" s="121"/>
      <c r="K176" s="122">
        <f>243539</f>
        <v>243539</v>
      </c>
      <c r="L176" s="122">
        <f>240500</f>
        <v>240500</v>
      </c>
      <c r="M176" s="115">
        <f>241513+1200</f>
        <v>242713</v>
      </c>
      <c r="N176" s="115">
        <f>242526+1200</f>
        <v>243726</v>
      </c>
      <c r="O176" s="115">
        <f>243539+1100</f>
        <v>244639</v>
      </c>
      <c r="P176" s="123">
        <v>2.17</v>
      </c>
      <c r="Q176" s="124"/>
      <c r="R176" s="238">
        <v>250</v>
      </c>
      <c r="S176" s="238">
        <v>125</v>
      </c>
      <c r="T176" s="121"/>
      <c r="U176" s="125">
        <v>200</v>
      </c>
      <c r="V176" s="125">
        <v>50</v>
      </c>
      <c r="W176" s="127" t="s">
        <v>383</v>
      </c>
      <c r="X176" s="126" t="s">
        <v>395</v>
      </c>
    </row>
    <row r="177" spans="1:24" s="128" customFormat="1" x14ac:dyDescent="0.25">
      <c r="A177" s="120">
        <v>162000</v>
      </c>
      <c r="B177" s="129" t="s">
        <v>309</v>
      </c>
      <c r="C177" s="22"/>
      <c r="D177" s="23" t="str">
        <f t="shared" si="95"/>
        <v/>
      </c>
      <c r="E177" s="23" t="str">
        <f>IF(C177&gt;=1,(K177-C177)*(1+P177*$E$4/100)/$E$4+Q177+S177,"")</f>
        <v/>
      </c>
      <c r="F177" s="23" t="str">
        <f t="shared" si="101"/>
        <v/>
      </c>
      <c r="G177" s="23" t="str">
        <f t="shared" si="100"/>
        <v/>
      </c>
      <c r="H177" s="23" t="str">
        <f t="shared" si="98"/>
        <v/>
      </c>
      <c r="I177" s="23" t="str">
        <f t="shared" si="99"/>
        <v/>
      </c>
      <c r="J177" s="121"/>
      <c r="K177" s="122">
        <v>166481</v>
      </c>
      <c r="L177" s="122">
        <v>162000</v>
      </c>
      <c r="M177" s="115">
        <f>163493+1200</f>
        <v>164693</v>
      </c>
      <c r="N177" s="115">
        <f>164987+1200</f>
        <v>166187</v>
      </c>
      <c r="O177" s="115">
        <f>166481+1100</f>
        <v>167581</v>
      </c>
      <c r="P177" s="123">
        <v>2.17</v>
      </c>
      <c r="Q177" s="124"/>
      <c r="R177" s="238">
        <v>250</v>
      </c>
      <c r="S177" s="238">
        <v>125</v>
      </c>
      <c r="T177" s="121"/>
      <c r="U177" s="125">
        <v>200</v>
      </c>
      <c r="V177" s="125">
        <v>50</v>
      </c>
      <c r="W177" s="127" t="s">
        <v>303</v>
      </c>
      <c r="X177" s="126" t="s">
        <v>310</v>
      </c>
    </row>
    <row r="178" spans="1:24" s="128" customFormat="1" x14ac:dyDescent="0.25">
      <c r="A178" s="120">
        <v>182000</v>
      </c>
      <c r="B178" s="129" t="s">
        <v>648</v>
      </c>
      <c r="C178" s="22">
        <v>50000</v>
      </c>
      <c r="D178" s="23">
        <f t="shared" si="95"/>
        <v>25962.05</v>
      </c>
      <c r="E178" s="23">
        <f t="shared" ref="E178:E183" si="157">IF(C178&gt;=1,(K178-C178)*(1+P178*$E$4/100)/$E$4+Q178+S178,"")</f>
        <v>14462.050000000001</v>
      </c>
      <c r="F178" s="23">
        <f t="shared" si="101"/>
        <v>10670.383333333333</v>
      </c>
      <c r="G178" s="23">
        <f t="shared" si="100"/>
        <v>8774.5499999999993</v>
      </c>
      <c r="H178" s="23">
        <f t="shared" si="98"/>
        <v>7637.0499999999993</v>
      </c>
      <c r="I178" s="23">
        <f t="shared" si="99"/>
        <v>6878.7166666666672</v>
      </c>
      <c r="J178" s="121"/>
      <c r="K178" s="122">
        <f>186500</f>
        <v>186500</v>
      </c>
      <c r="L178" s="122">
        <f>182000</f>
        <v>182000</v>
      </c>
      <c r="M178" s="115">
        <f>183500+1200</f>
        <v>184700</v>
      </c>
      <c r="N178" s="115">
        <f>185000+1200</f>
        <v>186200</v>
      </c>
      <c r="O178" s="115">
        <f>186500+1100</f>
        <v>187600</v>
      </c>
      <c r="P178" s="123">
        <v>2.17</v>
      </c>
      <c r="Q178" s="124"/>
      <c r="R178" s="238">
        <v>250</v>
      </c>
      <c r="S178" s="238">
        <v>125</v>
      </c>
      <c r="T178" s="121"/>
      <c r="U178" s="125">
        <v>200</v>
      </c>
      <c r="V178" s="125">
        <v>50</v>
      </c>
      <c r="W178" s="127" t="s">
        <v>651</v>
      </c>
      <c r="X178" s="126" t="s">
        <v>652</v>
      </c>
    </row>
    <row r="179" spans="1:24" x14ac:dyDescent="0.25">
      <c r="A179" s="113">
        <v>57900</v>
      </c>
      <c r="B179" s="27" t="s">
        <v>179</v>
      </c>
      <c r="C179" s="22"/>
      <c r="D179" s="23" t="str">
        <f t="shared" si="95"/>
        <v/>
      </c>
      <c r="E179" s="23" t="str">
        <f t="shared" si="157"/>
        <v/>
      </c>
      <c r="F179" s="23" t="str">
        <f t="shared" si="101"/>
        <v/>
      </c>
      <c r="G179" s="23" t="str">
        <f t="shared" si="100"/>
        <v/>
      </c>
      <c r="H179" s="23" t="str">
        <f t="shared" si="98"/>
        <v/>
      </c>
      <c r="I179" s="23" t="str">
        <f t="shared" si="99"/>
        <v/>
      </c>
      <c r="J179" s="114"/>
      <c r="K179" s="115">
        <f>62110</f>
        <v>62110</v>
      </c>
      <c r="L179" s="115">
        <f>61108</f>
        <v>61108</v>
      </c>
      <c r="M179" s="115">
        <f>61442+1200</f>
        <v>62642</v>
      </c>
      <c r="N179" s="115">
        <f>61776+1200</f>
        <v>62976</v>
      </c>
      <c r="O179" s="115">
        <f>62110+1100</f>
        <v>63210</v>
      </c>
      <c r="P179" s="116">
        <v>2.17</v>
      </c>
      <c r="Q179" s="117"/>
      <c r="R179" s="238">
        <v>250</v>
      </c>
      <c r="S179" s="238">
        <v>125</v>
      </c>
      <c r="T179" s="114"/>
      <c r="U179" s="118">
        <v>200</v>
      </c>
      <c r="V179" s="118">
        <v>100</v>
      </c>
      <c r="W179" s="150" t="s">
        <v>500</v>
      </c>
      <c r="X179" s="150" t="s">
        <v>501</v>
      </c>
    </row>
    <row r="180" spans="1:24" x14ac:dyDescent="0.25">
      <c r="A180" s="113">
        <v>239000</v>
      </c>
      <c r="B180" s="27" t="s">
        <v>180</v>
      </c>
      <c r="C180" s="22"/>
      <c r="D180" s="23" t="str">
        <f t="shared" si="95"/>
        <v/>
      </c>
      <c r="E180" s="23" t="str">
        <f t="shared" si="157"/>
        <v/>
      </c>
      <c r="F180" s="23" t="str">
        <f t="shared" si="101"/>
        <v/>
      </c>
      <c r="G180" s="23" t="str">
        <f t="shared" si="100"/>
        <v/>
      </c>
      <c r="H180" s="231"/>
      <c r="I180" s="231"/>
      <c r="J180" s="114"/>
      <c r="K180" s="115">
        <v>246054</v>
      </c>
      <c r="L180" s="115">
        <v>239000</v>
      </c>
      <c r="M180" s="115">
        <f>241351+1200</f>
        <v>242551</v>
      </c>
      <c r="N180" s="115">
        <f>241351+1200</f>
        <v>242551</v>
      </c>
      <c r="O180" s="115">
        <f>246054+1100</f>
        <v>247154</v>
      </c>
      <c r="P180" s="116">
        <v>2.17</v>
      </c>
      <c r="Q180" s="117"/>
      <c r="R180" s="238">
        <v>250</v>
      </c>
      <c r="S180" s="238">
        <v>125</v>
      </c>
      <c r="T180" s="114"/>
      <c r="U180" s="118">
        <v>350</v>
      </c>
      <c r="V180" s="118">
        <v>100</v>
      </c>
      <c r="W180" s="150" t="s">
        <v>178</v>
      </c>
      <c r="X180" s="150"/>
    </row>
    <row r="181" spans="1:24" x14ac:dyDescent="0.25">
      <c r="A181" s="113">
        <v>259000</v>
      </c>
      <c r="B181" s="129" t="s">
        <v>289</v>
      </c>
      <c r="C181" s="22"/>
      <c r="D181" s="23" t="str">
        <f t="shared" si="95"/>
        <v/>
      </c>
      <c r="E181" s="23" t="str">
        <f t="shared" si="157"/>
        <v/>
      </c>
      <c r="F181" s="23" t="str">
        <f t="shared" si="101"/>
        <v/>
      </c>
      <c r="G181" s="23" t="str">
        <f t="shared" si="100"/>
        <v/>
      </c>
      <c r="H181" s="231"/>
      <c r="I181" s="231"/>
      <c r="J181" s="114"/>
      <c r="K181" s="115">
        <v>265228</v>
      </c>
      <c r="L181" s="115">
        <v>259000</v>
      </c>
      <c r="M181" s="115">
        <f>261076+1200</f>
        <v>262276</v>
      </c>
      <c r="N181" s="115">
        <f>263152+1200</f>
        <v>264352</v>
      </c>
      <c r="O181" s="115">
        <f>265228+1100</f>
        <v>266328</v>
      </c>
      <c r="P181" s="116">
        <v>2.17</v>
      </c>
      <c r="Q181" s="117"/>
      <c r="R181" s="238">
        <v>250</v>
      </c>
      <c r="S181" s="238">
        <v>125</v>
      </c>
      <c r="T181" s="114"/>
      <c r="U181" s="118">
        <v>350</v>
      </c>
      <c r="V181" s="118">
        <v>100</v>
      </c>
      <c r="W181" s="150" t="s">
        <v>285</v>
      </c>
      <c r="X181" s="150" t="s">
        <v>290</v>
      </c>
    </row>
    <row r="182" spans="1:24" x14ac:dyDescent="0.25">
      <c r="A182" s="113">
        <v>279000</v>
      </c>
      <c r="B182" s="129" t="s">
        <v>362</v>
      </c>
      <c r="C182" s="22"/>
      <c r="D182" s="23" t="str">
        <f t="shared" si="95"/>
        <v/>
      </c>
      <c r="E182" s="23" t="str">
        <f t="shared" si="157"/>
        <v/>
      </c>
      <c r="F182" s="23" t="str">
        <f t="shared" si="101"/>
        <v/>
      </c>
      <c r="G182" s="23" t="str">
        <f t="shared" si="100"/>
        <v/>
      </c>
      <c r="H182" s="231"/>
      <c r="I182" s="231"/>
      <c r="J182" s="114"/>
      <c r="K182" s="115">
        <f>287130</f>
        <v>287130</v>
      </c>
      <c r="L182" s="115">
        <f>279000</f>
        <v>279000</v>
      </c>
      <c r="M182" s="115">
        <f>281710+1200</f>
        <v>282910</v>
      </c>
      <c r="N182" s="115">
        <f>284420+1200</f>
        <v>285620</v>
      </c>
      <c r="O182" s="115">
        <f>287130+1100</f>
        <v>288230</v>
      </c>
      <c r="P182" s="116">
        <v>2.17</v>
      </c>
      <c r="Q182" s="117"/>
      <c r="R182" s="238">
        <v>250</v>
      </c>
      <c r="S182" s="238">
        <v>125</v>
      </c>
      <c r="T182" s="114"/>
      <c r="U182" s="118">
        <v>350</v>
      </c>
      <c r="V182" s="118">
        <v>100</v>
      </c>
      <c r="W182" s="150" t="s">
        <v>383</v>
      </c>
      <c r="X182" s="150" t="s">
        <v>392</v>
      </c>
    </row>
    <row r="183" spans="1:24" x14ac:dyDescent="0.25">
      <c r="A183" s="113">
        <v>290000</v>
      </c>
      <c r="B183" s="129" t="s">
        <v>452</v>
      </c>
      <c r="C183" s="22"/>
      <c r="D183" s="23" t="str">
        <f t="shared" si="95"/>
        <v/>
      </c>
      <c r="E183" s="23" t="str">
        <f t="shared" si="157"/>
        <v/>
      </c>
      <c r="F183" s="23" t="str">
        <f t="shared" si="101"/>
        <v/>
      </c>
      <c r="G183" s="23" t="str">
        <f t="shared" si="100"/>
        <v/>
      </c>
      <c r="H183" s="231"/>
      <c r="I183" s="231"/>
      <c r="J183" s="114"/>
      <c r="K183" s="115">
        <f>298130</f>
        <v>298130</v>
      </c>
      <c r="L183" s="115">
        <f>290000</f>
        <v>290000</v>
      </c>
      <c r="M183" s="115">
        <f>292710+1200</f>
        <v>293910</v>
      </c>
      <c r="N183" s="115">
        <f>295420+1200</f>
        <v>296620</v>
      </c>
      <c r="O183" s="115">
        <f>298130+1100</f>
        <v>299230</v>
      </c>
      <c r="P183" s="116">
        <v>2.17</v>
      </c>
      <c r="Q183" s="117"/>
      <c r="R183" s="238">
        <v>250</v>
      </c>
      <c r="S183" s="238">
        <v>125</v>
      </c>
      <c r="T183" s="114"/>
      <c r="U183" s="118">
        <v>350</v>
      </c>
      <c r="V183" s="118">
        <v>100</v>
      </c>
      <c r="W183" s="150" t="s">
        <v>451</v>
      </c>
      <c r="X183" s="150" t="s">
        <v>453</v>
      </c>
    </row>
    <row r="184" spans="1:24" x14ac:dyDescent="0.25">
      <c r="A184" s="113">
        <v>296000</v>
      </c>
      <c r="B184" s="129" t="s">
        <v>363</v>
      </c>
      <c r="C184" s="22"/>
      <c r="D184" s="23" t="str">
        <f t="shared" si="95"/>
        <v/>
      </c>
      <c r="E184" s="23" t="str">
        <f>IF(C184&gt;=1,(K184-C184)*(1+P184*$E$4/100)/$E$4+Q184+S184,"")</f>
        <v/>
      </c>
      <c r="F184" s="23" t="str">
        <f t="shared" si="101"/>
        <v/>
      </c>
      <c r="G184" s="23" t="str">
        <f t="shared" si="100"/>
        <v/>
      </c>
      <c r="H184" s="231"/>
      <c r="I184" s="231"/>
      <c r="J184" s="114"/>
      <c r="K184" s="115">
        <v>304310</v>
      </c>
      <c r="L184" s="115">
        <f>296000</f>
        <v>296000</v>
      </c>
      <c r="M184" s="115">
        <f>298770+1200</f>
        <v>299970</v>
      </c>
      <c r="N184" s="115">
        <f>301540+1200</f>
        <v>302740</v>
      </c>
      <c r="O184" s="115">
        <f>304310+1100</f>
        <v>305410</v>
      </c>
      <c r="P184" s="116">
        <v>2.17</v>
      </c>
      <c r="Q184" s="117"/>
      <c r="R184" s="238">
        <v>250</v>
      </c>
      <c r="S184" s="238">
        <v>125</v>
      </c>
      <c r="T184" s="114"/>
      <c r="U184" s="118">
        <v>350</v>
      </c>
      <c r="V184" s="118">
        <v>100</v>
      </c>
      <c r="W184" s="150" t="s">
        <v>383</v>
      </c>
      <c r="X184" s="150" t="s">
        <v>393</v>
      </c>
    </row>
    <row r="185" spans="1:24" x14ac:dyDescent="0.25">
      <c r="A185" s="113">
        <v>291000</v>
      </c>
      <c r="B185" s="129" t="s">
        <v>599</v>
      </c>
      <c r="C185" s="22"/>
      <c r="D185" s="23" t="str">
        <f t="shared" ref="D185" si="158">IF(C185&gt;=1,(K185-C185)*(1+P185*$D$4/100)/$D$4+Q185+R185,"")</f>
        <v/>
      </c>
      <c r="E185" s="23" t="str">
        <f>IF(C185&gt;=1,(K185-C185)*(1+P185*$E$4/100)/$E$4+Q185+S185,"")</f>
        <v/>
      </c>
      <c r="F185" s="23" t="str">
        <f t="shared" ref="F185" si="159">IF(C185&gt;=1,(K185-C185)*(1+$P185*$F$4/100)/$F$4+Q185+S185, "")</f>
        <v/>
      </c>
      <c r="G185" s="23" t="str">
        <f t="shared" ref="G185" si="160">IF(C185&gt;=1, (K185-C185)*(1+$P185*$G$4/100)/$G$4+Q185+S185,"")</f>
        <v/>
      </c>
      <c r="H185" s="231"/>
      <c r="I185" s="231"/>
      <c r="J185" s="114"/>
      <c r="K185" s="115">
        <f>299130</f>
        <v>299130</v>
      </c>
      <c r="L185" s="115">
        <f>291000</f>
        <v>291000</v>
      </c>
      <c r="M185" s="115">
        <f>293710+1200</f>
        <v>294910</v>
      </c>
      <c r="N185" s="115">
        <f>296420+1200</f>
        <v>297620</v>
      </c>
      <c r="O185" s="115">
        <f>299130+1100</f>
        <v>300230</v>
      </c>
      <c r="P185" s="116">
        <v>2.17</v>
      </c>
      <c r="Q185" s="117"/>
      <c r="R185" s="238">
        <v>250</v>
      </c>
      <c r="S185" s="238">
        <v>125</v>
      </c>
      <c r="T185" s="114"/>
      <c r="U185" s="118">
        <v>350</v>
      </c>
      <c r="V185" s="118">
        <v>100</v>
      </c>
      <c r="W185" s="150" t="s">
        <v>594</v>
      </c>
      <c r="X185" s="150" t="s">
        <v>600</v>
      </c>
    </row>
    <row r="186" spans="1:24" x14ac:dyDescent="0.25">
      <c r="A186" s="113">
        <v>294000</v>
      </c>
      <c r="B186" s="129" t="s">
        <v>682</v>
      </c>
      <c r="C186" s="22">
        <v>160000</v>
      </c>
      <c r="D186" s="23">
        <f t="shared" ref="D186" si="161">IF(C186&gt;=1,(K186-C186)*(1+P186*$D$4/100)/$D$4+Q186+R186,"")</f>
        <v>27022.55433333333</v>
      </c>
      <c r="E186" s="23">
        <f>IF(C186&gt;=1,(K186-C186)*(1+P186*$E$4/100)/$E$4+Q186+S186,"")</f>
        <v>15053.387666666667</v>
      </c>
      <c r="F186" s="23">
        <f t="shared" ref="F186" si="162">IF(C186&gt;=1,(K186-C186)*(1+$P186*$F$4/100)/$F$4+Q186+S186, "")</f>
        <v>11105.332111111111</v>
      </c>
      <c r="G186" s="23">
        <f t="shared" ref="G186" si="163">IF(C186&gt;=1, (K186-C186)*(1+$P186*$G$4/100)/$G$4+Q186+S186,"")</f>
        <v>9131.3043333333335</v>
      </c>
      <c r="H186" s="231"/>
      <c r="I186" s="231"/>
      <c r="J186" s="114"/>
      <c r="K186" s="115">
        <f>302130</f>
        <v>302130</v>
      </c>
      <c r="L186" s="115">
        <f>294000</f>
        <v>294000</v>
      </c>
      <c r="M186" s="115">
        <f>296710+1200</f>
        <v>297910</v>
      </c>
      <c r="N186" s="115">
        <f>299420+1200</f>
        <v>300620</v>
      </c>
      <c r="O186" s="115">
        <f>302130+1100</f>
        <v>303230</v>
      </c>
      <c r="P186" s="116">
        <v>2.17</v>
      </c>
      <c r="Q186" s="117"/>
      <c r="R186" s="238">
        <v>250</v>
      </c>
      <c r="S186" s="238">
        <v>125</v>
      </c>
      <c r="T186" s="114"/>
      <c r="U186" s="118">
        <v>350</v>
      </c>
      <c r="V186" s="118">
        <v>100</v>
      </c>
      <c r="W186" s="150" t="s">
        <v>674</v>
      </c>
      <c r="X186" s="150" t="s">
        <v>683</v>
      </c>
    </row>
    <row r="187" spans="1:24" x14ac:dyDescent="0.25">
      <c r="A187" s="113">
        <v>149000</v>
      </c>
      <c r="B187" s="27" t="s">
        <v>181</v>
      </c>
      <c r="C187" s="22"/>
      <c r="D187" s="23" t="str">
        <f t="shared" si="95"/>
        <v/>
      </c>
      <c r="E187" s="23" t="str">
        <f>IF(C187&gt;=1,(K187-C187)*(1+P187*$E$4/100)/$E$4+Q187+S187,"")</f>
        <v/>
      </c>
      <c r="F187" s="23" t="str">
        <f t="shared" si="101"/>
        <v/>
      </c>
      <c r="G187" s="23" t="str">
        <f t="shared" si="100"/>
        <v/>
      </c>
      <c r="H187" s="23" t="str">
        <f t="shared" si="98"/>
        <v/>
      </c>
      <c r="I187" s="23" t="str">
        <f t="shared" si="99"/>
        <v/>
      </c>
      <c r="J187" s="114"/>
      <c r="K187" s="115">
        <v>153470</v>
      </c>
      <c r="L187" s="115">
        <v>149000</v>
      </c>
      <c r="M187" s="115">
        <f>150490+1200</f>
        <v>151690</v>
      </c>
      <c r="N187" s="115">
        <f>151980+1200</f>
        <v>153180</v>
      </c>
      <c r="O187" s="115">
        <f>153470+1100</f>
        <v>154570</v>
      </c>
      <c r="P187" s="116">
        <v>2.17</v>
      </c>
      <c r="Q187" s="117"/>
      <c r="R187" s="238">
        <v>250</v>
      </c>
      <c r="S187" s="238">
        <v>125</v>
      </c>
      <c r="T187" s="114"/>
      <c r="U187" s="118">
        <v>200</v>
      </c>
      <c r="V187" s="118">
        <v>100</v>
      </c>
      <c r="W187" s="150" t="s">
        <v>178</v>
      </c>
      <c r="X187" s="150"/>
    </row>
    <row r="188" spans="1:24" x14ac:dyDescent="0.25">
      <c r="A188" s="113">
        <v>150000</v>
      </c>
      <c r="B188" s="27" t="s">
        <v>105</v>
      </c>
      <c r="C188" s="22"/>
      <c r="D188" s="23" t="str">
        <f t="shared" si="95"/>
        <v/>
      </c>
      <c r="E188" s="23" t="str">
        <f t="shared" ref="E188:E194" si="164">IF(C188&gt;=1,(K188-C188)*(1+P188*$E$4/100)/$E$4+Q188+S188,"")</f>
        <v/>
      </c>
      <c r="F188" s="23" t="str">
        <f t="shared" si="101"/>
        <v/>
      </c>
      <c r="G188" s="23" t="str">
        <f t="shared" si="100"/>
        <v/>
      </c>
      <c r="H188" s="23" t="str">
        <f t="shared" si="98"/>
        <v/>
      </c>
      <c r="I188" s="23" t="str">
        <f t="shared" si="99"/>
        <v/>
      </c>
      <c r="J188" s="114"/>
      <c r="K188" s="115">
        <v>154470</v>
      </c>
      <c r="L188" s="115">
        <v>150000</v>
      </c>
      <c r="M188" s="115">
        <f>152450+1200</f>
        <v>153650</v>
      </c>
      <c r="N188" s="115">
        <f>153940+1200</f>
        <v>155140</v>
      </c>
      <c r="O188" s="115">
        <f>155330+1100</f>
        <v>156430</v>
      </c>
      <c r="P188" s="116">
        <v>2.17</v>
      </c>
      <c r="Q188" s="117"/>
      <c r="R188" s="238">
        <v>250</v>
      </c>
      <c r="S188" s="238">
        <v>125</v>
      </c>
      <c r="T188" s="114"/>
      <c r="U188" s="118">
        <v>200</v>
      </c>
      <c r="V188" s="118">
        <v>100</v>
      </c>
      <c r="W188" s="119"/>
      <c r="X188" s="119"/>
    </row>
    <row r="189" spans="1:24" x14ac:dyDescent="0.25">
      <c r="A189" s="113">
        <v>164000</v>
      </c>
      <c r="B189" s="27" t="s">
        <v>282</v>
      </c>
      <c r="C189" s="22"/>
      <c r="D189" s="23" t="str">
        <f t="shared" si="95"/>
        <v/>
      </c>
      <c r="E189" s="23" t="str">
        <f t="shared" si="164"/>
        <v/>
      </c>
      <c r="F189" s="23" t="str">
        <f t="shared" si="101"/>
        <v/>
      </c>
      <c r="G189" s="23" t="str">
        <f t="shared" si="100"/>
        <v/>
      </c>
      <c r="H189" s="23" t="str">
        <f t="shared" si="98"/>
        <v/>
      </c>
      <c r="I189" s="23" t="str">
        <f t="shared" si="99"/>
        <v/>
      </c>
      <c r="J189" s="114"/>
      <c r="K189" s="115">
        <v>167679</v>
      </c>
      <c r="L189" s="115">
        <v>164000</v>
      </c>
      <c r="M189" s="115">
        <f>166186+1200</f>
        <v>167386</v>
      </c>
      <c r="N189" s="115">
        <f>167412+1200</f>
        <v>168612</v>
      </c>
      <c r="O189" s="115">
        <f>168539+1100</f>
        <v>169639</v>
      </c>
      <c r="P189" s="116">
        <v>2.17</v>
      </c>
      <c r="Q189" s="117"/>
      <c r="R189" s="238">
        <v>250</v>
      </c>
      <c r="S189" s="238">
        <v>125</v>
      </c>
      <c r="T189" s="114"/>
      <c r="U189" s="118">
        <v>200</v>
      </c>
      <c r="V189" s="118">
        <v>100</v>
      </c>
      <c r="W189" s="150" t="s">
        <v>283</v>
      </c>
      <c r="X189" s="150" t="s">
        <v>284</v>
      </c>
    </row>
    <row r="190" spans="1:24" x14ac:dyDescent="0.25">
      <c r="A190" s="113">
        <v>167000</v>
      </c>
      <c r="B190" s="27" t="s">
        <v>141</v>
      </c>
      <c r="C190" s="22"/>
      <c r="D190" s="23" t="str">
        <f t="shared" si="95"/>
        <v/>
      </c>
      <c r="E190" s="23" t="str">
        <f t="shared" si="164"/>
        <v/>
      </c>
      <c r="F190" s="23" t="str">
        <f t="shared" si="101"/>
        <v/>
      </c>
      <c r="G190" s="23" t="str">
        <f t="shared" si="100"/>
        <v/>
      </c>
      <c r="H190" s="23" t="str">
        <f t="shared" si="98"/>
        <v/>
      </c>
      <c r="I190" s="23" t="str">
        <f t="shared" si="99"/>
        <v/>
      </c>
      <c r="J190" s="114"/>
      <c r="K190" s="115">
        <v>170654</v>
      </c>
      <c r="L190" s="115">
        <v>167000</v>
      </c>
      <c r="M190" s="115">
        <f>167178+240</f>
        <v>167418</v>
      </c>
      <c r="N190" s="115">
        <f>170396+240</f>
        <v>170636</v>
      </c>
      <c r="O190" s="115">
        <f>171514+240</f>
        <v>171754</v>
      </c>
      <c r="P190" s="116">
        <v>2.17</v>
      </c>
      <c r="Q190" s="117"/>
      <c r="R190" s="238">
        <v>250</v>
      </c>
      <c r="S190" s="238">
        <v>125</v>
      </c>
      <c r="T190" s="114"/>
      <c r="U190" s="118">
        <v>200</v>
      </c>
      <c r="V190" s="118">
        <v>100</v>
      </c>
      <c r="W190" s="119"/>
      <c r="X190" s="119"/>
    </row>
    <row r="191" spans="1:24" x14ac:dyDescent="0.25">
      <c r="A191" s="113">
        <v>169000</v>
      </c>
      <c r="B191" s="129" t="s">
        <v>184</v>
      </c>
      <c r="C191" s="22"/>
      <c r="D191" s="23" t="str">
        <f t="shared" si="95"/>
        <v/>
      </c>
      <c r="E191" s="23" t="str">
        <f t="shared" si="164"/>
        <v/>
      </c>
      <c r="F191" s="23" t="str">
        <f t="shared" si="101"/>
        <v/>
      </c>
      <c r="G191" s="23" t="str">
        <f t="shared" si="100"/>
        <v/>
      </c>
      <c r="H191" s="23" t="str">
        <f t="shared" si="98"/>
        <v/>
      </c>
      <c r="I191" s="23" t="str">
        <f t="shared" si="99"/>
        <v/>
      </c>
      <c r="J191" s="114"/>
      <c r="K191" s="115">
        <v>172654</v>
      </c>
      <c r="L191" s="115">
        <v>169000</v>
      </c>
      <c r="M191" s="115">
        <f>170218+1200</f>
        <v>171418</v>
      </c>
      <c r="N191" s="115">
        <f>171436+1200</f>
        <v>172636</v>
      </c>
      <c r="O191" s="115">
        <f>172654+1100</f>
        <v>173754</v>
      </c>
      <c r="P191" s="116">
        <v>2.17</v>
      </c>
      <c r="Q191" s="117"/>
      <c r="R191" s="238">
        <v>250</v>
      </c>
      <c r="S191" s="238">
        <v>125</v>
      </c>
      <c r="T191" s="114"/>
      <c r="U191" s="118">
        <v>200</v>
      </c>
      <c r="V191" s="118">
        <v>100</v>
      </c>
      <c r="W191" s="150" t="s">
        <v>182</v>
      </c>
      <c r="X191" s="150"/>
    </row>
    <row r="192" spans="1:24" x14ac:dyDescent="0.25">
      <c r="A192" s="113">
        <v>203000</v>
      </c>
      <c r="B192" s="129" t="s">
        <v>366</v>
      </c>
      <c r="C192" s="22"/>
      <c r="D192" s="23" t="str">
        <f t="shared" si="95"/>
        <v/>
      </c>
      <c r="E192" s="23" t="str">
        <f t="shared" si="164"/>
        <v/>
      </c>
      <c r="F192" s="23" t="str">
        <f t="shared" si="101"/>
        <v/>
      </c>
      <c r="G192" s="23" t="str">
        <f t="shared" si="100"/>
        <v/>
      </c>
      <c r="H192" s="23" t="str">
        <f t="shared" si="98"/>
        <v/>
      </c>
      <c r="I192" s="23" t="str">
        <f t="shared" si="99"/>
        <v/>
      </c>
      <c r="J192" s="114"/>
      <c r="K192" s="115">
        <f>205744</f>
        <v>205744</v>
      </c>
      <c r="L192" s="115">
        <f>203000</f>
        <v>203000</v>
      </c>
      <c r="M192" s="115">
        <f>203914+1200</f>
        <v>205114</v>
      </c>
      <c r="N192" s="115">
        <f>204829+1200</f>
        <v>206029</v>
      </c>
      <c r="O192" s="115">
        <f>205744+1100</f>
        <v>206844</v>
      </c>
      <c r="P192" s="116">
        <v>2.17</v>
      </c>
      <c r="Q192" s="117"/>
      <c r="R192" s="238">
        <v>250</v>
      </c>
      <c r="S192" s="238">
        <v>125</v>
      </c>
      <c r="T192" s="114"/>
      <c r="U192" s="118">
        <v>350</v>
      </c>
      <c r="V192" s="118">
        <v>100</v>
      </c>
      <c r="W192" s="150" t="s">
        <v>443</v>
      </c>
      <c r="X192" s="150" t="s">
        <v>448</v>
      </c>
    </row>
    <row r="193" spans="1:24" x14ac:dyDescent="0.25">
      <c r="A193" s="113">
        <v>199000</v>
      </c>
      <c r="B193" s="129" t="s">
        <v>367</v>
      </c>
      <c r="C193" s="22"/>
      <c r="D193" s="23" t="str">
        <f t="shared" ref="D193:D194" si="165">IF(C193&gt;=1,(K193-C193)*(1+P193*$D$4/100)/$D$4+Q193+R193,"")</f>
        <v/>
      </c>
      <c r="E193" s="23" t="str">
        <f t="shared" si="164"/>
        <v/>
      </c>
      <c r="F193" s="23" t="str">
        <f>IF(C193&gt;=1,(K193-C193)*(1+$P193*$F$4/100)/$F$4+Q193+S193, "")</f>
        <v/>
      </c>
      <c r="G193" s="23" t="str">
        <f t="shared" si="100"/>
        <v/>
      </c>
      <c r="H193" s="23" t="str">
        <f t="shared" ref="H193:H194" si="166">IF(C193&gt;=1, (K193-C193)*(1+$P193*$H$4/100)/$H$4+Q193+S193, "")</f>
        <v/>
      </c>
      <c r="I193" s="23" t="str">
        <f t="shared" ref="I193:I194" si="167">IF(C193&gt;=1, (K193-C193)*(1+$P193*$I$4/100)/$I$4+Q193+S193, "")</f>
        <v/>
      </c>
      <c r="J193" s="114"/>
      <c r="K193" s="115">
        <v>200812</v>
      </c>
      <c r="L193" s="115">
        <v>199000</v>
      </c>
      <c r="M193" s="115">
        <f>199604+1200</f>
        <v>200804</v>
      </c>
      <c r="N193" s="115">
        <f>200208+1200</f>
        <v>201408</v>
      </c>
      <c r="O193" s="115">
        <f>200812+1100</f>
        <v>201912</v>
      </c>
      <c r="P193" s="116">
        <v>2.17</v>
      </c>
      <c r="Q193" s="117"/>
      <c r="R193" s="238">
        <v>250</v>
      </c>
      <c r="S193" s="238">
        <v>125</v>
      </c>
      <c r="T193" s="114"/>
      <c r="U193" s="118">
        <v>200</v>
      </c>
      <c r="V193" s="118">
        <v>100</v>
      </c>
      <c r="W193" s="150" t="s">
        <v>383</v>
      </c>
      <c r="X193" s="150" t="s">
        <v>394</v>
      </c>
    </row>
    <row r="194" spans="1:24" x14ac:dyDescent="0.25">
      <c r="A194" s="113">
        <v>204000</v>
      </c>
      <c r="B194" s="129" t="s">
        <v>724</v>
      </c>
      <c r="C194" s="22"/>
      <c r="D194" s="23" t="str">
        <f t="shared" si="165"/>
        <v/>
      </c>
      <c r="E194" s="23" t="str">
        <f t="shared" si="164"/>
        <v/>
      </c>
      <c r="F194" s="23" t="str">
        <f>IF(C194&gt;=1,(K194-C194)*(1+$P194*$F$4/100)/$F$4+Q194+S194, "")</f>
        <v/>
      </c>
      <c r="G194" s="23" t="str">
        <f t="shared" ref="G194" si="168">IF(C194&gt;=1, (K194-C194)*(1+$P194*$G$4/100)/$G$4+Q194+S194,"")</f>
        <v/>
      </c>
      <c r="H194" s="23" t="str">
        <f t="shared" si="166"/>
        <v/>
      </c>
      <c r="I194" s="23" t="str">
        <f t="shared" si="167"/>
        <v/>
      </c>
      <c r="J194" s="114"/>
      <c r="K194" s="115">
        <v>206431</v>
      </c>
      <c r="L194" s="115">
        <v>204000</v>
      </c>
      <c r="M194" s="115">
        <f>204810+1200</f>
        <v>206010</v>
      </c>
      <c r="N194" s="115">
        <f>205621+1200</f>
        <v>206821</v>
      </c>
      <c r="O194" s="115">
        <f>206431+1100</f>
        <v>207531</v>
      </c>
      <c r="P194" s="116">
        <v>2.17</v>
      </c>
      <c r="Q194" s="117"/>
      <c r="R194" s="238">
        <v>250</v>
      </c>
      <c r="S194" s="238">
        <v>125</v>
      </c>
      <c r="T194" s="114"/>
      <c r="U194" s="118">
        <v>200</v>
      </c>
      <c r="V194" s="118">
        <v>100</v>
      </c>
      <c r="W194" s="150" t="s">
        <v>725</v>
      </c>
      <c r="X194" s="150" t="s">
        <v>726</v>
      </c>
    </row>
    <row r="195" spans="1:24" ht="15" customHeight="1" x14ac:dyDescent="0.25">
      <c r="A195" s="97"/>
      <c r="B195" s="198" t="s">
        <v>206</v>
      </c>
      <c r="C195" s="264" t="s">
        <v>281</v>
      </c>
      <c r="D195" s="265"/>
      <c r="E195" s="265"/>
      <c r="F195" s="265"/>
      <c r="G195" s="265"/>
      <c r="H195" s="265"/>
      <c r="I195" s="265"/>
      <c r="J195" s="114"/>
      <c r="K195" s="266" t="s">
        <v>211</v>
      </c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</row>
    <row r="196" spans="1:24" x14ac:dyDescent="0.25">
      <c r="A196" s="113">
        <v>262000</v>
      </c>
      <c r="B196" s="129" t="s">
        <v>210</v>
      </c>
      <c r="C196" s="22"/>
      <c r="D196" s="23" t="str">
        <f>IF(C196&gt;=1,(K196-C196)*(1+P196*$D$4/100)/$D$4+Q196+R196,"")</f>
        <v/>
      </c>
      <c r="E196" s="23" t="str">
        <f>IF(C196&gt;=1,(K196-C196)*(1+P196*$E$4/100)/$E$4+Q196+S196,"")</f>
        <v/>
      </c>
      <c r="F196" s="23" t="str">
        <f>IF(C196&gt;=1,(K196-C196)*(1+$P196*$F$4/100)/$F$4+Q196+S196, "")</f>
        <v/>
      </c>
      <c r="G196" s="23" t="str">
        <f>IF(C196&gt;=1, (K196-C196)*(1+$P196*$G$4/100)/$G$4+Q196+S196,"")</f>
        <v/>
      </c>
      <c r="H196" s="231"/>
      <c r="I196" s="231"/>
      <c r="J196" s="114"/>
      <c r="K196" s="115">
        <v>268228</v>
      </c>
      <c r="L196" s="115">
        <v>262000</v>
      </c>
      <c r="M196" s="115">
        <f>264076+1200</f>
        <v>265276</v>
      </c>
      <c r="N196" s="115">
        <f>266152+1200</f>
        <v>267352</v>
      </c>
      <c r="O196" s="115">
        <f>268228+1100</f>
        <v>269328</v>
      </c>
      <c r="P196" s="116">
        <v>2.17</v>
      </c>
      <c r="Q196" s="117"/>
      <c r="R196" s="238">
        <v>250</v>
      </c>
      <c r="S196" s="238">
        <v>125</v>
      </c>
      <c r="T196" s="114"/>
      <c r="U196" s="118">
        <v>350</v>
      </c>
      <c r="V196" s="118">
        <v>100</v>
      </c>
      <c r="W196" s="150" t="s">
        <v>208</v>
      </c>
      <c r="X196" s="150" t="s">
        <v>212</v>
      </c>
    </row>
    <row r="197" spans="1:24" x14ac:dyDescent="0.25">
      <c r="A197" s="113">
        <v>166000</v>
      </c>
      <c r="B197" s="129" t="s">
        <v>213</v>
      </c>
      <c r="C197" s="22"/>
      <c r="D197" s="23" t="str">
        <f t="shared" ref="D197:D201" si="169">IF(C197&gt;=1,(K197-C197)*(1+P197*$D$4/100)/$D$4+Q197+R197,"")</f>
        <v/>
      </c>
      <c r="E197" s="23" t="str">
        <f t="shared" ref="E197:E201" si="170">IF(C197&gt;=1,(K197-C197)*(1+P197*$E$4/100)/$E$4+Q197+S197,"")</f>
        <v/>
      </c>
      <c r="F197" s="23" t="str">
        <f t="shared" ref="F197:F201" si="171">IF(C197&gt;=1,(K197-C197)*(1+$P197*$F$4/100)/$F$4+Q197+S197, "")</f>
        <v/>
      </c>
      <c r="G197" s="23" t="str">
        <f t="shared" ref="G197:G201" si="172">IF(C197&gt;=1, (K197-C197)*(1+$P197*$G$4/100)/$G$4+Q197+S197,"")</f>
        <v/>
      </c>
      <c r="H197" s="23" t="str">
        <f>IF(C197&gt;=1, (K197-C197)*(1+$P197*$H$4/100)/$H$4+Q197+S197, "")</f>
        <v/>
      </c>
      <c r="I197" s="23" t="str">
        <f>IF(C197&gt;=1, (K197-C197)*(1+$P197*$I$4/100)/$I$4+Q197+S197, "")</f>
        <v/>
      </c>
      <c r="J197" s="114"/>
      <c r="K197" s="115">
        <v>169679</v>
      </c>
      <c r="L197" s="115">
        <v>166000</v>
      </c>
      <c r="M197" s="115">
        <f>167226+1200</f>
        <v>168426</v>
      </c>
      <c r="N197" s="115">
        <f>168452+1200</f>
        <v>169652</v>
      </c>
      <c r="O197" s="115">
        <f>169679+1100</f>
        <v>170779</v>
      </c>
      <c r="P197" s="116">
        <v>2.17</v>
      </c>
      <c r="Q197" s="117"/>
      <c r="R197" s="238">
        <v>250</v>
      </c>
      <c r="S197" s="238">
        <v>125</v>
      </c>
      <c r="T197" s="114"/>
      <c r="U197" s="118">
        <v>200</v>
      </c>
      <c r="V197" s="118">
        <v>100</v>
      </c>
      <c r="W197" s="150" t="s">
        <v>208</v>
      </c>
      <c r="X197" s="150" t="s">
        <v>214</v>
      </c>
    </row>
    <row r="198" spans="1:24" s="128" customFormat="1" x14ac:dyDescent="0.25">
      <c r="A198" s="113">
        <v>104900</v>
      </c>
      <c r="B198" s="199" t="s">
        <v>215</v>
      </c>
      <c r="C198" s="22"/>
      <c r="D198" s="23" t="str">
        <f t="shared" si="169"/>
        <v/>
      </c>
      <c r="E198" s="23" t="str">
        <f t="shared" si="170"/>
        <v/>
      </c>
      <c r="F198" s="23" t="str">
        <f t="shared" si="171"/>
        <v/>
      </c>
      <c r="G198" s="23" t="str">
        <f t="shared" si="172"/>
        <v/>
      </c>
      <c r="H198" s="23" t="str">
        <f t="shared" ref="H198:H201" si="173">IF(C198&gt;=1, (K198-C198)*(1+$P198*$H$4/100)/$H$4+Q198+S198, "")</f>
        <v/>
      </c>
      <c r="I198" s="23" t="str">
        <f t="shared" ref="I198:I201" si="174">IF(C198&gt;=1, (K198-C198)*(1+$P198*$I$4/100)/$I$4+Q198+S198, "")</f>
        <v/>
      </c>
      <c r="J198" s="114"/>
      <c r="K198" s="115">
        <v>108657</v>
      </c>
      <c r="L198" s="115">
        <v>104900</v>
      </c>
      <c r="M198" s="115">
        <f>106152+1200</f>
        <v>107352</v>
      </c>
      <c r="N198" s="115">
        <f>107404+960</f>
        <v>108364</v>
      </c>
      <c r="O198" s="115">
        <f>108657+1100</f>
        <v>109757</v>
      </c>
      <c r="P198" s="116">
        <v>2.17</v>
      </c>
      <c r="Q198" s="117"/>
      <c r="R198" s="238">
        <v>250</v>
      </c>
      <c r="S198" s="238">
        <v>125</v>
      </c>
      <c r="T198" s="114"/>
      <c r="U198" s="118">
        <v>200</v>
      </c>
      <c r="V198" s="118">
        <v>100</v>
      </c>
      <c r="W198" s="150" t="s">
        <v>203</v>
      </c>
      <c r="X198" s="150" t="s">
        <v>204</v>
      </c>
    </row>
    <row r="199" spans="1:24" s="128" customFormat="1" x14ac:dyDescent="0.25">
      <c r="A199" s="113">
        <v>123400</v>
      </c>
      <c r="B199" s="199" t="s">
        <v>350</v>
      </c>
      <c r="C199" s="22"/>
      <c r="D199" s="23" t="str">
        <f t="shared" si="169"/>
        <v/>
      </c>
      <c r="E199" s="23" t="str">
        <f t="shared" si="170"/>
        <v/>
      </c>
      <c r="F199" s="23" t="str">
        <f t="shared" si="171"/>
        <v/>
      </c>
      <c r="G199" s="23" t="str">
        <f t="shared" si="172"/>
        <v/>
      </c>
      <c r="H199" s="23" t="str">
        <f t="shared" si="173"/>
        <v/>
      </c>
      <c r="I199" s="23" t="str">
        <f t="shared" si="174"/>
        <v/>
      </c>
      <c r="J199" s="114"/>
      <c r="K199" s="115">
        <v>124921</v>
      </c>
      <c r="L199" s="115">
        <v>123400</v>
      </c>
      <c r="M199" s="115">
        <f>123907+1200</f>
        <v>125107</v>
      </c>
      <c r="N199" s="115">
        <f>124414+1200</f>
        <v>125614</v>
      </c>
      <c r="O199" s="115">
        <f>124921+1100</f>
        <v>126021</v>
      </c>
      <c r="P199" s="116">
        <v>2.17</v>
      </c>
      <c r="Q199" s="117"/>
      <c r="R199" s="238">
        <v>250</v>
      </c>
      <c r="S199" s="238">
        <v>125</v>
      </c>
      <c r="T199" s="114"/>
      <c r="U199" s="118">
        <v>200</v>
      </c>
      <c r="V199" s="118">
        <v>100</v>
      </c>
      <c r="W199" s="150" t="s">
        <v>345</v>
      </c>
      <c r="X199" s="150" t="s">
        <v>347</v>
      </c>
    </row>
    <row r="200" spans="1:24" s="128" customFormat="1" x14ac:dyDescent="0.25">
      <c r="A200" s="214">
        <v>104900</v>
      </c>
      <c r="B200" s="215" t="s">
        <v>207</v>
      </c>
      <c r="C200" s="216"/>
      <c r="D200" s="23" t="str">
        <f t="shared" si="169"/>
        <v/>
      </c>
      <c r="E200" s="23" t="str">
        <f t="shared" si="170"/>
        <v/>
      </c>
      <c r="F200" s="23" t="str">
        <f t="shared" si="171"/>
        <v/>
      </c>
      <c r="G200" s="23" t="str">
        <f t="shared" si="172"/>
        <v/>
      </c>
      <c r="H200" s="23" t="str">
        <f t="shared" si="173"/>
        <v/>
      </c>
      <c r="I200" s="23" t="str">
        <f t="shared" si="174"/>
        <v/>
      </c>
      <c r="J200" s="114"/>
      <c r="K200" s="217">
        <v>109019</v>
      </c>
      <c r="L200" s="217">
        <v>104900</v>
      </c>
      <c r="M200" s="217">
        <f>106273+1200</f>
        <v>107473</v>
      </c>
      <c r="N200" s="217">
        <f>107646+1200</f>
        <v>108846</v>
      </c>
      <c r="O200" s="217">
        <f>109019+1100</f>
        <v>110119</v>
      </c>
      <c r="P200" s="116">
        <v>2.17</v>
      </c>
      <c r="Q200" s="130"/>
      <c r="R200" s="238">
        <v>250</v>
      </c>
      <c r="S200" s="238">
        <v>125</v>
      </c>
      <c r="T200" s="114"/>
      <c r="U200" s="118">
        <v>200</v>
      </c>
      <c r="V200" s="118">
        <v>100</v>
      </c>
      <c r="W200" s="150" t="s">
        <v>208</v>
      </c>
      <c r="X200" s="150" t="s">
        <v>209</v>
      </c>
    </row>
    <row r="201" spans="1:24" s="128" customFormat="1" x14ac:dyDescent="0.25">
      <c r="A201" s="214">
        <v>135400</v>
      </c>
      <c r="B201" s="215" t="s">
        <v>317</v>
      </c>
      <c r="C201" s="216"/>
      <c r="D201" s="23" t="str">
        <f t="shared" si="169"/>
        <v/>
      </c>
      <c r="E201" s="23" t="str">
        <f t="shared" si="170"/>
        <v/>
      </c>
      <c r="F201" s="23" t="str">
        <f t="shared" si="171"/>
        <v/>
      </c>
      <c r="G201" s="23" t="str">
        <f t="shared" si="172"/>
        <v/>
      </c>
      <c r="H201" s="23" t="str">
        <f t="shared" si="173"/>
        <v/>
      </c>
      <c r="I201" s="23" t="str">
        <f t="shared" si="174"/>
        <v/>
      </c>
      <c r="J201" s="114"/>
      <c r="K201" s="217">
        <v>137354</v>
      </c>
      <c r="L201" s="217">
        <v>135400</v>
      </c>
      <c r="M201" s="217">
        <f>136051+1200</f>
        <v>137251</v>
      </c>
      <c r="N201" s="217">
        <f>136702+1200</f>
        <v>137902</v>
      </c>
      <c r="O201" s="217">
        <f>137354+1100</f>
        <v>138454</v>
      </c>
      <c r="P201" s="116">
        <v>2.17</v>
      </c>
      <c r="Q201" s="130"/>
      <c r="R201" s="238">
        <v>250</v>
      </c>
      <c r="S201" s="238">
        <v>125</v>
      </c>
      <c r="T201" s="114"/>
      <c r="U201" s="118">
        <v>200</v>
      </c>
      <c r="V201" s="118">
        <v>100</v>
      </c>
      <c r="W201" s="150" t="s">
        <v>318</v>
      </c>
      <c r="X201" s="150" t="s">
        <v>319</v>
      </c>
    </row>
    <row r="202" spans="1:24" s="213" customFormat="1" ht="15" customHeight="1" x14ac:dyDescent="0.25">
      <c r="A202" s="218"/>
      <c r="B202" s="220" t="s">
        <v>311</v>
      </c>
      <c r="C202" s="268" t="s">
        <v>312</v>
      </c>
      <c r="D202" s="269"/>
      <c r="E202" s="269"/>
      <c r="F202" s="269"/>
      <c r="G202" s="269"/>
      <c r="H202" s="269"/>
      <c r="I202" s="269"/>
      <c r="J202" s="219"/>
      <c r="K202" s="270" t="s">
        <v>311</v>
      </c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2"/>
    </row>
    <row r="203" spans="1:24" s="128" customFormat="1" x14ac:dyDescent="0.25">
      <c r="A203" s="113">
        <v>134900</v>
      </c>
      <c r="B203" s="210" t="s">
        <v>351</v>
      </c>
      <c r="C203" s="22"/>
      <c r="D203" s="23" t="str">
        <f>IF(C203&gt;=1,(K203-C203)*(1+P203*$D$4/100)/$D$4+Q203+R203,"")</f>
        <v/>
      </c>
      <c r="E203" s="23" t="str">
        <f>IF(C203&gt;=1,(K203-C203)*(1+P203*$E$4/100)/$E$4+Q203+S203,"")</f>
        <v/>
      </c>
      <c r="F203" s="23" t="str">
        <f>IF(C203&gt;=1,(K203-C203)*(1+$P203*$F$4/100)/$F$4+Q203+S203, "")</f>
        <v/>
      </c>
      <c r="G203" s="23" t="str">
        <f>IF(C203&gt;=1, (K203-C203)*(1+$P203*$G$4/100)/$G$4+Q203+S203,"")</f>
        <v/>
      </c>
      <c r="H203" s="23" t="str">
        <f>IF(C203&gt;=1, (K203-C203)*(1+$P203*$H$4/100)/$H$4+Q203+S203, "")</f>
        <v/>
      </c>
      <c r="I203" s="23" t="str">
        <f>IF(C203&gt;=1, (K203-C203)*(1+$P203*$I$4/100)/$I$4+Q203+S203, "")</f>
        <v/>
      </c>
      <c r="J203" s="114"/>
      <c r="K203" s="115">
        <v>136854</v>
      </c>
      <c r="L203" s="115">
        <v>134900</v>
      </c>
      <c r="M203" s="115">
        <f>135551+1200</f>
        <v>136751</v>
      </c>
      <c r="N203" s="115">
        <f>136202+1200</f>
        <v>137402</v>
      </c>
      <c r="O203" s="115">
        <f>136854+1100</f>
        <v>137954</v>
      </c>
      <c r="P203" s="116">
        <v>2.17</v>
      </c>
      <c r="Q203" s="130"/>
      <c r="R203" s="238">
        <v>250</v>
      </c>
      <c r="S203" s="238">
        <v>125</v>
      </c>
      <c r="T203" s="114"/>
      <c r="U203" s="118">
        <v>200</v>
      </c>
      <c r="V203" s="118">
        <v>100</v>
      </c>
      <c r="W203" s="150" t="s">
        <v>340</v>
      </c>
      <c r="X203" s="150" t="s">
        <v>341</v>
      </c>
    </row>
    <row r="204" spans="1:24" s="128" customFormat="1" x14ac:dyDescent="0.25">
      <c r="A204" s="113">
        <v>140400</v>
      </c>
      <c r="B204" s="210" t="s">
        <v>378</v>
      </c>
      <c r="C204" s="22"/>
      <c r="D204" s="23" t="str">
        <f t="shared" ref="D204:D208" si="175">IF(C204&gt;=1,(K204-C204)*(1+P204*$D$4/100)/$D$4+Q204+R204,"")</f>
        <v/>
      </c>
      <c r="E204" s="23" t="str">
        <f>IF(C204&gt;=1,(K204-C204)*(1+P204*$E$4/100)/$E$4+Q204+S204,"")</f>
        <v/>
      </c>
      <c r="F204" s="23" t="str">
        <f t="shared" ref="F204:F207" si="176">IF(C204&gt;=1,(K204-C204)*(1+$P204*$F$4/100)/$F$4+Q204+S204, "")</f>
        <v/>
      </c>
      <c r="G204" s="23" t="str">
        <f t="shared" ref="G204:G208" si="177">IF(C204&gt;=1, (K204-C204)*(1+$P204*$G$4/100)/$G$4+Q204+S204,"")</f>
        <v/>
      </c>
      <c r="H204" s="23" t="str">
        <f t="shared" ref="H204:H208" si="178">IF(C204&gt;=1, (K204-C204)*(1+$P204*$H$4/100)/$H$4+Q204+S204, "")</f>
        <v/>
      </c>
      <c r="I204" s="23" t="str">
        <f t="shared" ref="I204:I208" si="179">IF(C204&gt;=1, (K204-C204)*(1+$P204*$I$4/100)/$I$4+Q204+S204, "")</f>
        <v/>
      </c>
      <c r="J204" s="114"/>
      <c r="K204" s="115">
        <v>142354</v>
      </c>
      <c r="L204" s="115">
        <v>140400</v>
      </c>
      <c r="M204" s="115">
        <f>141051+1200</f>
        <v>142251</v>
      </c>
      <c r="N204" s="115">
        <f>141702+1200</f>
        <v>142902</v>
      </c>
      <c r="O204" s="115">
        <f>142354+1100</f>
        <v>143454</v>
      </c>
      <c r="P204" s="116">
        <v>2.17</v>
      </c>
      <c r="Q204" s="130"/>
      <c r="R204" s="238">
        <v>250</v>
      </c>
      <c r="S204" s="238">
        <v>125</v>
      </c>
      <c r="T204" s="114"/>
      <c r="U204" s="118">
        <v>200</v>
      </c>
      <c r="V204" s="118">
        <v>100</v>
      </c>
      <c r="W204" s="150" t="s">
        <v>380</v>
      </c>
      <c r="X204" s="150" t="s">
        <v>382</v>
      </c>
    </row>
    <row r="205" spans="1:24" s="128" customFormat="1" x14ac:dyDescent="0.25">
      <c r="A205" s="113">
        <v>93900</v>
      </c>
      <c r="B205" s="210" t="s">
        <v>314</v>
      </c>
      <c r="C205" s="22"/>
      <c r="D205" s="23" t="str">
        <f t="shared" si="175"/>
        <v/>
      </c>
      <c r="E205" s="23" t="str">
        <f t="shared" ref="E205:E208" si="180">IF(C205&gt;=1,(K205-C205)*(1+P205*$E$4/100)/$E$4+Q205+S205,"")</f>
        <v/>
      </c>
      <c r="F205" s="23" t="str">
        <f t="shared" si="176"/>
        <v/>
      </c>
      <c r="G205" s="23" t="str">
        <f t="shared" si="177"/>
        <v/>
      </c>
      <c r="H205" s="23" t="str">
        <f t="shared" si="178"/>
        <v/>
      </c>
      <c r="I205" s="23" t="str">
        <f t="shared" si="179"/>
        <v/>
      </c>
      <c r="J205" s="114"/>
      <c r="K205" s="115">
        <f>95339</f>
        <v>95339</v>
      </c>
      <c r="L205" s="115">
        <f>93900</f>
        <v>93900</v>
      </c>
      <c r="M205" s="115">
        <f>94379+1200</f>
        <v>95579</v>
      </c>
      <c r="N205" s="115">
        <f>94859+1200</f>
        <v>96059</v>
      </c>
      <c r="O205" s="115">
        <f>95339+1100</f>
        <v>96439</v>
      </c>
      <c r="P205" s="116">
        <v>2.17</v>
      </c>
      <c r="Q205" s="130"/>
      <c r="R205" s="238">
        <v>250</v>
      </c>
      <c r="S205" s="238">
        <v>125</v>
      </c>
      <c r="T205" s="114"/>
      <c r="U205" s="118">
        <v>200</v>
      </c>
      <c r="V205" s="118">
        <v>100</v>
      </c>
      <c r="W205" s="150" t="s">
        <v>467</v>
      </c>
      <c r="X205" s="150" t="s">
        <v>469</v>
      </c>
    </row>
    <row r="206" spans="1:24" s="128" customFormat="1" x14ac:dyDescent="0.25">
      <c r="A206" s="120">
        <v>71400</v>
      </c>
      <c r="B206" s="210" t="s">
        <v>316</v>
      </c>
      <c r="C206" s="22"/>
      <c r="D206" s="23" t="str">
        <f t="shared" si="175"/>
        <v/>
      </c>
      <c r="E206" s="23" t="str">
        <f t="shared" si="180"/>
        <v/>
      </c>
      <c r="F206" s="23" t="str">
        <f t="shared" si="176"/>
        <v/>
      </c>
      <c r="G206" s="23" t="str">
        <f t="shared" si="177"/>
        <v/>
      </c>
      <c r="H206" s="23" t="str">
        <f t="shared" si="178"/>
        <v/>
      </c>
      <c r="I206" s="23" t="str">
        <f t="shared" si="179"/>
        <v/>
      </c>
      <c r="J206" s="121"/>
      <c r="K206" s="115">
        <f>73100</f>
        <v>73100</v>
      </c>
      <c r="L206" s="122">
        <f>72100</f>
        <v>72100</v>
      </c>
      <c r="M206" s="115">
        <f>72433+1200</f>
        <v>73633</v>
      </c>
      <c r="N206" s="115">
        <f>72766+1200</f>
        <v>73966</v>
      </c>
      <c r="O206" s="115">
        <f>73100+1100</f>
        <v>74200</v>
      </c>
      <c r="P206" s="123">
        <v>2.17</v>
      </c>
      <c r="Q206" s="124"/>
      <c r="R206" s="238">
        <v>250</v>
      </c>
      <c r="S206" s="238">
        <v>125</v>
      </c>
      <c r="T206" s="121"/>
      <c r="U206" s="125">
        <v>200</v>
      </c>
      <c r="V206" s="125">
        <v>50</v>
      </c>
      <c r="W206" s="127" t="s">
        <v>383</v>
      </c>
      <c r="X206" s="150" t="s">
        <v>386</v>
      </c>
    </row>
    <row r="207" spans="1:24" x14ac:dyDescent="0.25">
      <c r="A207" s="120">
        <v>85900</v>
      </c>
      <c r="B207" s="210" t="s">
        <v>352</v>
      </c>
      <c r="C207" s="22"/>
      <c r="D207" s="23" t="str">
        <f t="shared" si="175"/>
        <v/>
      </c>
      <c r="E207" s="23" t="str">
        <f t="shared" si="180"/>
        <v/>
      </c>
      <c r="F207" s="23" t="str">
        <f t="shared" si="176"/>
        <v/>
      </c>
      <c r="G207" s="23" t="str">
        <f t="shared" si="177"/>
        <v/>
      </c>
      <c r="H207" s="23" t="str">
        <f t="shared" si="178"/>
        <v/>
      </c>
      <c r="I207" s="23" t="str">
        <f t="shared" si="179"/>
        <v/>
      </c>
      <c r="J207" s="121"/>
      <c r="K207" s="122">
        <v>87100</v>
      </c>
      <c r="L207" s="122">
        <v>85900</v>
      </c>
      <c r="M207" s="115">
        <f>86300+1200</f>
        <v>87500</v>
      </c>
      <c r="N207" s="115">
        <f>86700+1200</f>
        <v>87900</v>
      </c>
      <c r="O207" s="115">
        <f>87100+1100</f>
        <v>88200</v>
      </c>
      <c r="P207" s="123">
        <v>2.17</v>
      </c>
      <c r="Q207" s="124"/>
      <c r="R207" s="238">
        <v>250</v>
      </c>
      <c r="S207" s="238">
        <v>125</v>
      </c>
      <c r="T207" s="121"/>
      <c r="U207" s="125">
        <v>200</v>
      </c>
      <c r="V207" s="125">
        <v>100</v>
      </c>
      <c r="W207" s="127" t="s">
        <v>313</v>
      </c>
      <c r="X207" s="150" t="s">
        <v>315</v>
      </c>
    </row>
    <row r="208" spans="1:24" x14ac:dyDescent="0.25">
      <c r="A208" s="120">
        <v>80400</v>
      </c>
      <c r="B208" s="210" t="s">
        <v>330</v>
      </c>
      <c r="C208" s="22"/>
      <c r="D208" s="23" t="str">
        <f t="shared" si="175"/>
        <v/>
      </c>
      <c r="E208" s="23" t="str">
        <f t="shared" si="180"/>
        <v/>
      </c>
      <c r="F208" s="23" t="str">
        <f>IF(C208&gt;=1,(K208-C208)*(1+$P208*$F$4/100)/$F$4+Q208+S208, "")</f>
        <v/>
      </c>
      <c r="G208" s="23" t="str">
        <f t="shared" si="177"/>
        <v/>
      </c>
      <c r="H208" s="23" t="str">
        <f t="shared" si="178"/>
        <v/>
      </c>
      <c r="I208" s="23" t="str">
        <f t="shared" si="179"/>
        <v/>
      </c>
      <c r="J208" s="121"/>
      <c r="K208" s="122">
        <f>81641</f>
        <v>81641</v>
      </c>
      <c r="L208" s="122">
        <f>80400</f>
        <v>80400</v>
      </c>
      <c r="M208" s="115">
        <f>80813+1200</f>
        <v>82013</v>
      </c>
      <c r="N208" s="115">
        <f>81227+1200</f>
        <v>82427</v>
      </c>
      <c r="O208" s="115">
        <f>81641+1100</f>
        <v>82741</v>
      </c>
      <c r="P208" s="123">
        <v>2.17</v>
      </c>
      <c r="Q208" s="124"/>
      <c r="R208" s="238">
        <v>250</v>
      </c>
      <c r="S208" s="238">
        <v>125</v>
      </c>
      <c r="T208" s="121"/>
      <c r="U208" s="125">
        <v>200</v>
      </c>
      <c r="V208" s="125">
        <v>100</v>
      </c>
      <c r="W208" s="127" t="s">
        <v>383</v>
      </c>
      <c r="X208" s="150" t="s">
        <v>385</v>
      </c>
    </row>
    <row r="209" spans="1:24" s="213" customFormat="1" ht="15" customHeight="1" x14ac:dyDescent="0.25">
      <c r="A209" s="218"/>
      <c r="B209" s="222" t="s">
        <v>348</v>
      </c>
      <c r="C209" s="268" t="s">
        <v>349</v>
      </c>
      <c r="D209" s="269"/>
      <c r="E209" s="269"/>
      <c r="F209" s="269"/>
      <c r="G209" s="269"/>
      <c r="H209" s="269"/>
      <c r="I209" s="269"/>
      <c r="J209" s="219"/>
      <c r="K209" s="274" t="s">
        <v>348</v>
      </c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6"/>
    </row>
    <row r="210" spans="1:24" s="128" customFormat="1" x14ac:dyDescent="0.25">
      <c r="A210" s="113">
        <v>142900</v>
      </c>
      <c r="B210" s="209" t="s">
        <v>353</v>
      </c>
      <c r="C210" s="22">
        <v>1</v>
      </c>
      <c r="D210" s="23">
        <f>IF(C210&gt;=1,(K210-C210)*(1+P210*$D$4/100)/$D$4+Q210+R210,"")</f>
        <v>27522.47946666666</v>
      </c>
      <c r="E210" s="23">
        <f>IF(C210&gt;=1,(K210-C210)*(1+P210*$E$4/100)/$E$4+Q210+S210,"")</f>
        <v>15332.146133333334</v>
      </c>
      <c r="F210" s="23">
        <f>IF(C210&gt;=1,(K210-C210)*(1+$P210*$F$4/100)/$F$4+Q210+S210, "")</f>
        <v>11310.368355555554</v>
      </c>
      <c r="G210" s="23">
        <f>IF(C210&gt;=1, (K210-C210)*(1+$P210*$G$4/100)/$G$4+Q210+S210,"")</f>
        <v>9299.4794666666658</v>
      </c>
      <c r="H210" s="23">
        <f>IF(C210&gt;=1, (K210-C210)*(1+$P210*$H$4/100)/$H$4+Q210+S210, "")</f>
        <v>8092.946133333332</v>
      </c>
      <c r="I210" s="23">
        <f>IF(C210&gt;=1, (K210-C210)*(1+$P210*$I$4/100)/$I$4+Q210+S210, "")</f>
        <v>7288.590577777778</v>
      </c>
      <c r="J210" s="114"/>
      <c r="K210" s="115">
        <f>144785</f>
        <v>144785</v>
      </c>
      <c r="L210" s="115">
        <f>142900</f>
        <v>142900</v>
      </c>
      <c r="M210" s="115">
        <f>143528+1200</f>
        <v>144728</v>
      </c>
      <c r="N210" s="115">
        <f>144156+1200</f>
        <v>145356</v>
      </c>
      <c r="O210" s="115">
        <f>144785+1100</f>
        <v>145885</v>
      </c>
      <c r="P210" s="116">
        <v>2.17</v>
      </c>
      <c r="Q210" s="130"/>
      <c r="R210" s="238">
        <v>250</v>
      </c>
      <c r="S210" s="238">
        <v>125</v>
      </c>
      <c r="T210" s="114"/>
      <c r="U210" s="118">
        <v>200</v>
      </c>
      <c r="V210" s="118">
        <v>100</v>
      </c>
      <c r="W210" s="150" t="s">
        <v>383</v>
      </c>
      <c r="X210" s="150" t="s">
        <v>384</v>
      </c>
    </row>
    <row r="211" spans="1:24" s="128" customFormat="1" x14ac:dyDescent="0.25">
      <c r="A211" s="113">
        <v>130900</v>
      </c>
      <c r="B211" s="209" t="s">
        <v>354</v>
      </c>
      <c r="C211" s="22">
        <v>1</v>
      </c>
      <c r="D211" s="23">
        <f>IF(C211&gt;=1,(K211-C211)*(1+P211*$D$4/100)/$D$4+Q211+R211,"")</f>
        <v>25193.513999999996</v>
      </c>
      <c r="E211" s="23">
        <f>IF(C211&gt;=1,(K211-C211)*(1+P211*$E$4/100)/$E$4+Q211+S211,"")</f>
        <v>14033.514000000001</v>
      </c>
      <c r="F211" s="23">
        <f>IF(C211&gt;=1,(K211-C211)*(1+$P211*$F$4/100)/$F$4+Q211+S211, "")</f>
        <v>10355.180666666667</v>
      </c>
      <c r="G211" s="23">
        <f>IF(C211&gt;=1, (K211-C211)*(1+$P211*$G$4/100)/$G$4+Q211+S211,"")</f>
        <v>8516.0139999999992</v>
      </c>
      <c r="H211" s="23">
        <f>IF(C211&gt;=1, (K211-C211)*(1+$P211*$H$4/100)/$H$4+Q211+S211, "")</f>
        <v>7412.5139999999992</v>
      </c>
      <c r="I211" s="23">
        <f>IF(C211&gt;=1, (K211-C211)*(1+$P211*$I$4/100)/$I$4+Q211+S211, "")</f>
        <v>6676.8473333333341</v>
      </c>
      <c r="J211" s="114"/>
      <c r="K211" s="115">
        <f>132421</f>
        <v>132421</v>
      </c>
      <c r="L211" s="115">
        <f>130900</f>
        <v>130900</v>
      </c>
      <c r="M211" s="115">
        <f>131407+1200</f>
        <v>132607</v>
      </c>
      <c r="N211" s="115">
        <f>131914+1200</f>
        <v>133114</v>
      </c>
      <c r="O211" s="115">
        <f>132421+1100</f>
        <v>133521</v>
      </c>
      <c r="P211" s="116">
        <v>2.17</v>
      </c>
      <c r="Q211" s="117"/>
      <c r="R211" s="238">
        <v>250</v>
      </c>
      <c r="S211" s="238">
        <v>125</v>
      </c>
      <c r="T211" s="114"/>
      <c r="U211" s="118">
        <v>200</v>
      </c>
      <c r="V211" s="118">
        <v>100</v>
      </c>
      <c r="W211" s="150" t="s">
        <v>383</v>
      </c>
      <c r="X211" s="150" t="s">
        <v>390</v>
      </c>
    </row>
    <row r="212" spans="1:24" x14ac:dyDescent="0.25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</row>
    <row r="213" spans="1:24" s="55" customFormat="1" x14ac:dyDescent="0.25">
      <c r="A213" s="61" t="s">
        <v>0</v>
      </c>
      <c r="B213" s="60" t="s">
        <v>47</v>
      </c>
      <c r="C213" s="196" t="s">
        <v>80</v>
      </c>
      <c r="D213" s="61">
        <v>6</v>
      </c>
      <c r="E213" s="54">
        <v>12</v>
      </c>
      <c r="F213" s="54">
        <v>18</v>
      </c>
      <c r="G213" s="54">
        <v>24</v>
      </c>
      <c r="H213" s="54">
        <v>30</v>
      </c>
      <c r="I213" s="54">
        <v>36</v>
      </c>
      <c r="K213" s="54" t="s">
        <v>2</v>
      </c>
      <c r="L213" s="54" t="s">
        <v>1</v>
      </c>
      <c r="M213" s="54" t="s">
        <v>3</v>
      </c>
      <c r="N213" s="54" t="s">
        <v>4</v>
      </c>
      <c r="O213" s="54" t="s">
        <v>5</v>
      </c>
      <c r="P213" s="257" t="s">
        <v>6</v>
      </c>
      <c r="Q213" s="258"/>
      <c r="R213" s="239">
        <v>6</v>
      </c>
      <c r="S213" s="239" t="s">
        <v>523</v>
      </c>
      <c r="T213" s="56"/>
      <c r="U213" s="259" t="s">
        <v>7</v>
      </c>
      <c r="V213" s="260"/>
      <c r="W213" s="59" t="s">
        <v>152</v>
      </c>
      <c r="X213" s="59"/>
    </row>
    <row r="214" spans="1:24" ht="15" customHeight="1" x14ac:dyDescent="0.25">
      <c r="A214" s="252" t="s">
        <v>22</v>
      </c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71"/>
      <c r="X214" s="71"/>
    </row>
    <row r="215" spans="1:24" ht="12" customHeight="1" x14ac:dyDescent="0.25">
      <c r="A215" s="99">
        <v>155400</v>
      </c>
      <c r="B215" s="107" t="s">
        <v>620</v>
      </c>
      <c r="C215" s="20"/>
      <c r="D215" s="231"/>
      <c r="E215" s="231"/>
      <c r="F215" s="231"/>
      <c r="G215" s="231"/>
      <c r="H215" s="231"/>
      <c r="I215" s="231"/>
      <c r="J215" s="101"/>
      <c r="K215" s="102"/>
      <c r="L215" s="102">
        <v>155400</v>
      </c>
      <c r="M215" s="102"/>
      <c r="N215" s="102"/>
      <c r="O215" s="102"/>
      <c r="P215" s="103"/>
      <c r="Q215" s="104"/>
      <c r="R215" s="240"/>
      <c r="S215" s="240"/>
      <c r="T215" s="101"/>
      <c r="U215" s="105"/>
      <c r="V215" s="105"/>
      <c r="W215" s="108" t="s">
        <v>618</v>
      </c>
      <c r="X215" s="108" t="s">
        <v>619</v>
      </c>
    </row>
    <row r="216" spans="1:24" ht="12" customHeight="1" x14ac:dyDescent="0.25">
      <c r="A216" s="99">
        <v>109900</v>
      </c>
      <c r="B216" s="107" t="s">
        <v>364</v>
      </c>
      <c r="C216" s="20"/>
      <c r="D216" s="21" t="str">
        <f>IF(C216&gt;=1,(K216-C216)*(1+P216*$D$4/100)/$D$4+Q216+R216,"")</f>
        <v/>
      </c>
      <c r="E216" s="21" t="str">
        <f>IF(C216&gt;=1,(K216-C216)*(1+P216*$E$4/100)/$E$4+Q216+S216,"")</f>
        <v/>
      </c>
      <c r="F216" s="21" t="str">
        <f>IF(C216&gt;=1,(K216-C216)*(1+$P216*$F$4/100)/$F$4+Q216+S216, "")</f>
        <v/>
      </c>
      <c r="G216" s="21" t="str">
        <f>IF(C216&gt;=1, (K216-C216)*(1+$P216*$G$4/100)/$G$4+Q216+S216,"")</f>
        <v/>
      </c>
      <c r="H216" s="21" t="str">
        <f>IF(C216&gt;=1, (K216-C216)*(1+$P216*$H$4/100)/$H$4+Q216+S216, "")</f>
        <v/>
      </c>
      <c r="I216" s="21" t="str">
        <f>IF(C216&gt;=1, (K216-C216)*(1+$P216*$I$4/100)/$I$4+Q216+S216, "")</f>
        <v/>
      </c>
      <c r="J216" s="101"/>
      <c r="K216" s="102">
        <v>113384</v>
      </c>
      <c r="L216" s="102">
        <v>112100</v>
      </c>
      <c r="M216" s="102">
        <f>112528+1200</f>
        <v>113728</v>
      </c>
      <c r="N216" s="102">
        <f>112956+1200</f>
        <v>114156</v>
      </c>
      <c r="O216" s="102">
        <f>113384+1100</f>
        <v>114484</v>
      </c>
      <c r="P216" s="103">
        <v>2.17</v>
      </c>
      <c r="Q216" s="104">
        <v>200</v>
      </c>
      <c r="R216" s="240">
        <v>250</v>
      </c>
      <c r="S216" s="240">
        <v>125</v>
      </c>
      <c r="T216" s="101"/>
      <c r="U216" s="105">
        <v>350</v>
      </c>
      <c r="V216" s="105">
        <v>100</v>
      </c>
      <c r="W216" s="108" t="s">
        <v>427</v>
      </c>
      <c r="X216" s="108" t="s">
        <v>437</v>
      </c>
    </row>
    <row r="217" spans="1:24" ht="12" customHeight="1" x14ac:dyDescent="0.25">
      <c r="A217" s="99">
        <v>125900</v>
      </c>
      <c r="B217" s="107" t="s">
        <v>400</v>
      </c>
      <c r="C217" s="20"/>
      <c r="D217" s="21" t="str">
        <f>IF(C217&gt;=1,(K217-C217)*(1+P217*$D$4/100)/$D$4+Q217+R217,"")</f>
        <v/>
      </c>
      <c r="E217" s="21" t="str">
        <f t="shared" ref="E217:E262" si="181">IF(C217&gt;=1,(K217-C217)*(1+P217*$E$4/100)/$E$4+Q217+S217,"")</f>
        <v/>
      </c>
      <c r="F217" s="21" t="str">
        <f t="shared" ref="F217:F296" si="182">IF(C217&gt;=1,(K217-C217)*(1+$P217*$F$4/100)/$F$4+Q217+S217, "")</f>
        <v/>
      </c>
      <c r="G217" s="21" t="str">
        <f t="shared" ref="G217:G296" si="183">IF(C217&gt;=1, (K217-C217)*(1+$P217*$G$4/100)/$G$4+Q217+S217,"")</f>
        <v/>
      </c>
      <c r="H217" s="21" t="str">
        <f t="shared" ref="H217:H296" si="184">IF(C217&gt;=1, (K217-C217)*(1+$P217*$H$4/100)/$H$4+Q217+S217, "")</f>
        <v/>
      </c>
      <c r="I217" s="21" t="str">
        <f t="shared" ref="I217:I274" si="185">IF(C217&gt;=1, (K217-C217)*(1+$P217*$I$4/100)/$I$4+Q217+S217, "")</f>
        <v/>
      </c>
      <c r="J217" s="101"/>
      <c r="K217" s="102">
        <f>131372</f>
        <v>131372</v>
      </c>
      <c r="L217" s="102">
        <f>127893</f>
        <v>127893</v>
      </c>
      <c r="M217" s="102">
        <f>129052+1200</f>
        <v>130252</v>
      </c>
      <c r="N217" s="102">
        <f>130212+1200</f>
        <v>131412</v>
      </c>
      <c r="O217" s="102">
        <f>131372+1100</f>
        <v>132472</v>
      </c>
      <c r="P217" s="103">
        <v>2.17</v>
      </c>
      <c r="Q217" s="104">
        <v>200</v>
      </c>
      <c r="R217" s="240">
        <v>250</v>
      </c>
      <c r="S217" s="240">
        <v>125</v>
      </c>
      <c r="T217" s="101"/>
      <c r="U217" s="105">
        <v>350</v>
      </c>
      <c r="V217" s="105">
        <v>100</v>
      </c>
      <c r="W217" s="108" t="s">
        <v>422</v>
      </c>
      <c r="X217" s="108" t="s">
        <v>426</v>
      </c>
    </row>
    <row r="218" spans="1:24" ht="12" customHeight="1" x14ac:dyDescent="0.25">
      <c r="A218" s="99">
        <v>80900</v>
      </c>
      <c r="B218" s="100" t="s">
        <v>194</v>
      </c>
      <c r="C218" s="20"/>
      <c r="D218" s="21" t="str">
        <f t="shared" ref="D218:D299" si="186">IF(C218&gt;=1,(K218-C218)*(1+P218*$D$4/100)/$D$4+Q218+R218,"")</f>
        <v/>
      </c>
      <c r="E218" s="21" t="str">
        <f t="shared" si="181"/>
        <v/>
      </c>
      <c r="F218" s="21" t="str">
        <f t="shared" si="182"/>
        <v/>
      </c>
      <c r="G218" s="21" t="str">
        <f t="shared" si="183"/>
        <v/>
      </c>
      <c r="H218" s="21" t="str">
        <f t="shared" si="184"/>
        <v/>
      </c>
      <c r="I218" s="21" t="str">
        <f t="shared" si="185"/>
        <v/>
      </c>
      <c r="J218" s="101"/>
      <c r="K218" s="102">
        <v>84143</v>
      </c>
      <c r="L218" s="102">
        <v>81770</v>
      </c>
      <c r="M218" s="102">
        <f>82561+1200</f>
        <v>83761</v>
      </c>
      <c r="N218" s="102">
        <f>83352+1200</f>
        <v>84552</v>
      </c>
      <c r="O218" s="102">
        <f>84143+1100</f>
        <v>85243</v>
      </c>
      <c r="P218" s="103">
        <v>2.17</v>
      </c>
      <c r="Q218" s="104">
        <v>200</v>
      </c>
      <c r="R218" s="240">
        <v>250</v>
      </c>
      <c r="S218" s="240">
        <v>125</v>
      </c>
      <c r="T218" s="101"/>
      <c r="U218" s="105">
        <v>200</v>
      </c>
      <c r="V218" s="105">
        <v>100</v>
      </c>
      <c r="W218" s="108" t="s">
        <v>174</v>
      </c>
      <c r="X218" s="108"/>
    </row>
    <row r="219" spans="1:24" ht="12" customHeight="1" x14ac:dyDescent="0.25">
      <c r="A219" s="99">
        <v>74900</v>
      </c>
      <c r="B219" s="100" t="s">
        <v>250</v>
      </c>
      <c r="C219" s="20"/>
      <c r="D219" s="21" t="str">
        <f t="shared" si="186"/>
        <v/>
      </c>
      <c r="E219" s="21" t="str">
        <f t="shared" si="181"/>
        <v/>
      </c>
      <c r="F219" s="21" t="str">
        <f t="shared" si="182"/>
        <v/>
      </c>
      <c r="G219" s="21" t="str">
        <f t="shared" si="183"/>
        <v/>
      </c>
      <c r="H219" s="21" t="str">
        <f t="shared" si="184"/>
        <v/>
      </c>
      <c r="I219" s="21" t="str">
        <f t="shared" si="185"/>
        <v/>
      </c>
      <c r="J219" s="101"/>
      <c r="K219" s="102">
        <v>76370</v>
      </c>
      <c r="L219" s="102">
        <v>75400</v>
      </c>
      <c r="M219" s="102">
        <f>75723+1200</f>
        <v>76923</v>
      </c>
      <c r="N219" s="102">
        <f>76046+1200</f>
        <v>77246</v>
      </c>
      <c r="O219" s="102">
        <f>76370+1100</f>
        <v>77470</v>
      </c>
      <c r="P219" s="103">
        <v>2.17</v>
      </c>
      <c r="Q219" s="104">
        <v>200</v>
      </c>
      <c r="R219" s="240">
        <v>250</v>
      </c>
      <c r="S219" s="240">
        <v>125</v>
      </c>
      <c r="T219" s="101"/>
      <c r="U219" s="105">
        <v>200</v>
      </c>
      <c r="V219" s="105">
        <v>100</v>
      </c>
      <c r="W219" s="108" t="s">
        <v>243</v>
      </c>
      <c r="X219" s="108" t="s">
        <v>248</v>
      </c>
    </row>
    <row r="220" spans="1:24" ht="12" customHeight="1" x14ac:dyDescent="0.25">
      <c r="A220" s="99">
        <v>79900</v>
      </c>
      <c r="B220" s="197" t="s">
        <v>328</v>
      </c>
      <c r="C220" s="20"/>
      <c r="D220" s="21" t="str">
        <f t="shared" si="186"/>
        <v/>
      </c>
      <c r="E220" s="21" t="str">
        <f t="shared" si="181"/>
        <v/>
      </c>
      <c r="F220" s="21" t="str">
        <f t="shared" si="182"/>
        <v/>
      </c>
      <c r="G220" s="21" t="str">
        <f t="shared" si="183"/>
        <v/>
      </c>
      <c r="H220" s="21" t="str">
        <f t="shared" si="184"/>
        <v/>
      </c>
      <c r="I220" s="21" t="str">
        <f t="shared" si="185"/>
        <v/>
      </c>
      <c r="J220" s="101"/>
      <c r="K220" s="102">
        <f>83070</f>
        <v>83070</v>
      </c>
      <c r="L220" s="102">
        <f>82100</f>
        <v>82100</v>
      </c>
      <c r="M220" s="102">
        <f>82423+1200</f>
        <v>83623</v>
      </c>
      <c r="N220" s="102">
        <f>82746+1200</f>
        <v>83946</v>
      </c>
      <c r="O220" s="102">
        <f>83070+1100</f>
        <v>84170</v>
      </c>
      <c r="P220" s="103">
        <v>2.17</v>
      </c>
      <c r="Q220" s="104">
        <v>200</v>
      </c>
      <c r="R220" s="240">
        <v>250</v>
      </c>
      <c r="S220" s="240">
        <v>125</v>
      </c>
      <c r="T220" s="101"/>
      <c r="U220" s="105">
        <v>200</v>
      </c>
      <c r="V220" s="105">
        <v>100</v>
      </c>
      <c r="W220" s="108" t="s">
        <v>422</v>
      </c>
      <c r="X220" s="108" t="s">
        <v>442</v>
      </c>
    </row>
    <row r="221" spans="1:24" ht="12" customHeight="1" x14ac:dyDescent="0.25">
      <c r="A221" s="99">
        <v>83900</v>
      </c>
      <c r="B221" s="197" t="s">
        <v>520</v>
      </c>
      <c r="C221" s="20"/>
      <c r="D221" s="21" t="str">
        <f t="shared" si="186"/>
        <v/>
      </c>
      <c r="E221" s="21" t="str">
        <f t="shared" si="181"/>
        <v/>
      </c>
      <c r="F221" s="21" t="str">
        <f t="shared" si="182"/>
        <v/>
      </c>
      <c r="G221" s="21" t="str">
        <f t="shared" si="183"/>
        <v/>
      </c>
      <c r="H221" s="21" t="str">
        <f t="shared" si="184"/>
        <v/>
      </c>
      <c r="I221" s="21" t="str">
        <f t="shared" si="185"/>
        <v/>
      </c>
      <c r="J221" s="101"/>
      <c r="K221" s="102">
        <f>87070</f>
        <v>87070</v>
      </c>
      <c r="L221" s="102">
        <f>86100</f>
        <v>86100</v>
      </c>
      <c r="M221" s="102">
        <f>86423+1200</f>
        <v>87623</v>
      </c>
      <c r="N221" s="102">
        <f>86746+1200</f>
        <v>87946</v>
      </c>
      <c r="O221" s="102">
        <f>87070+1100</f>
        <v>88170</v>
      </c>
      <c r="P221" s="103">
        <v>2.17</v>
      </c>
      <c r="Q221" s="104">
        <v>200</v>
      </c>
      <c r="R221" s="240">
        <v>250</v>
      </c>
      <c r="S221" s="240">
        <v>125</v>
      </c>
      <c r="T221" s="101"/>
      <c r="U221" s="105">
        <v>200</v>
      </c>
      <c r="V221" s="105">
        <v>100</v>
      </c>
      <c r="W221" s="108" t="s">
        <v>514</v>
      </c>
      <c r="X221" s="108" t="s">
        <v>521</v>
      </c>
    </row>
    <row r="222" spans="1:24" ht="12" customHeight="1" x14ac:dyDescent="0.25">
      <c r="A222" s="99">
        <v>80900</v>
      </c>
      <c r="B222" s="197" t="s">
        <v>522</v>
      </c>
      <c r="C222" s="20"/>
      <c r="D222" s="21" t="str">
        <f t="shared" si="186"/>
        <v/>
      </c>
      <c r="E222" s="21" t="str">
        <f t="shared" si="181"/>
        <v/>
      </c>
      <c r="F222" s="21" t="str">
        <f t="shared" si="182"/>
        <v/>
      </c>
      <c r="G222" s="21" t="str">
        <f t="shared" si="183"/>
        <v/>
      </c>
      <c r="H222" s="21" t="str">
        <f t="shared" si="184"/>
        <v/>
      </c>
      <c r="I222" s="21" t="str">
        <f t="shared" si="185"/>
        <v/>
      </c>
      <c r="J222" s="101"/>
      <c r="K222" s="102">
        <f>84070</f>
        <v>84070</v>
      </c>
      <c r="L222" s="102">
        <f>83100</f>
        <v>83100</v>
      </c>
      <c r="M222" s="102">
        <f>83423+1200</f>
        <v>84623</v>
      </c>
      <c r="N222" s="102">
        <f>83746+1200</f>
        <v>84946</v>
      </c>
      <c r="O222" s="102">
        <f>84070+1100</f>
        <v>85170</v>
      </c>
      <c r="P222" s="103">
        <v>2.17</v>
      </c>
      <c r="Q222" s="104">
        <v>200</v>
      </c>
      <c r="R222" s="240">
        <v>250</v>
      </c>
      <c r="S222" s="240">
        <v>125</v>
      </c>
      <c r="T222" s="101"/>
      <c r="U222" s="105">
        <v>200</v>
      </c>
      <c r="V222" s="105">
        <v>100</v>
      </c>
      <c r="W222" s="108" t="s">
        <v>514</v>
      </c>
      <c r="X222" s="108" t="s">
        <v>425</v>
      </c>
    </row>
    <row r="223" spans="1:24" ht="12" customHeight="1" x14ac:dyDescent="0.25">
      <c r="A223" s="99">
        <v>81400</v>
      </c>
      <c r="B223" s="197" t="s">
        <v>560</v>
      </c>
      <c r="C223" s="20"/>
      <c r="D223" s="21" t="str">
        <f t="shared" ref="D223" si="187">IF(C223&gt;=1,(K223-C223)*(1+P223*$D$4/100)/$D$4+Q223+R223,"")</f>
        <v/>
      </c>
      <c r="E223" s="21" t="str">
        <f t="shared" ref="E223" si="188">IF(C223&gt;=1,(K223-C223)*(1+P223*$E$4/100)/$E$4+Q223+S223,"")</f>
        <v/>
      </c>
      <c r="F223" s="21" t="str">
        <f t="shared" ref="F223" si="189">IF(C223&gt;=1,(K223-C223)*(1+$P223*$F$4/100)/$F$4+Q223+S223, "")</f>
        <v/>
      </c>
      <c r="G223" s="21" t="str">
        <f t="shared" ref="G223" si="190">IF(C223&gt;=1, (K223-C223)*(1+$P223*$G$4/100)/$G$4+Q223+S223,"")</f>
        <v/>
      </c>
      <c r="H223" s="21" t="str">
        <f t="shared" ref="H223" si="191">IF(C223&gt;=1, (K223-C223)*(1+$P223*$H$4/100)/$H$4+Q223+S223, "")</f>
        <v/>
      </c>
      <c r="I223" s="21" t="str">
        <f t="shared" ref="I223" si="192">IF(C223&gt;=1, (K223-C223)*(1+$P223*$I$4/100)/$I$4+Q223+S223, "")</f>
        <v/>
      </c>
      <c r="J223" s="101"/>
      <c r="K223" s="102">
        <v>84698</v>
      </c>
      <c r="L223" s="102">
        <v>83880</v>
      </c>
      <c r="M223" s="102">
        <f>84152+1200</f>
        <v>85352</v>
      </c>
      <c r="N223" s="102">
        <f>84425+1200</f>
        <v>85625</v>
      </c>
      <c r="O223" s="102">
        <f>84698+1100</f>
        <v>85798</v>
      </c>
      <c r="P223" s="103">
        <v>2.17</v>
      </c>
      <c r="Q223" s="104">
        <v>200</v>
      </c>
      <c r="R223" s="240">
        <v>250</v>
      </c>
      <c r="S223" s="240">
        <v>125</v>
      </c>
      <c r="T223" s="101"/>
      <c r="U223" s="105">
        <v>350</v>
      </c>
      <c r="V223" s="105">
        <v>100</v>
      </c>
      <c r="W223" s="108" t="s">
        <v>561</v>
      </c>
      <c r="X223" s="108" t="s">
        <v>562</v>
      </c>
    </row>
    <row r="224" spans="1:24" ht="12" customHeight="1" x14ac:dyDescent="0.25">
      <c r="A224" s="99">
        <v>83900</v>
      </c>
      <c r="B224" s="197" t="s">
        <v>563</v>
      </c>
      <c r="C224" s="20"/>
      <c r="D224" s="21" t="str">
        <f t="shared" ref="D224:D225" si="193">IF(C224&gt;=1,(K224-C224)*(1+P224*$D$4/100)/$D$4+Q224+R224,"")</f>
        <v/>
      </c>
      <c r="E224" s="21" t="str">
        <f t="shared" ref="E224:E225" si="194">IF(C224&gt;=1,(K224-C224)*(1+P224*$E$4/100)/$E$4+Q224+S224,"")</f>
        <v/>
      </c>
      <c r="F224" s="21" t="str">
        <f t="shared" ref="F224:F225" si="195">IF(C224&gt;=1,(K224-C224)*(1+$P224*$F$4/100)/$F$4+Q224+S224, "")</f>
        <v/>
      </c>
      <c r="G224" s="21" t="str">
        <f t="shared" ref="G224:G225" si="196">IF(C224&gt;=1, (K224-C224)*(1+$P224*$G$4/100)/$G$4+Q224+S224,"")</f>
        <v/>
      </c>
      <c r="H224" s="21" t="str">
        <f t="shared" ref="H224:H225" si="197">IF(C224&gt;=1, (K224-C224)*(1+$P224*$H$4/100)/$H$4+Q224+S224, "")</f>
        <v/>
      </c>
      <c r="I224" s="21" t="str">
        <f t="shared" ref="I224:I225" si="198">IF(C224&gt;=1, (K224-C224)*(1+$P224*$I$4/100)/$I$4+Q224+S224, "")</f>
        <v/>
      </c>
      <c r="J224" s="101"/>
      <c r="K224" s="102">
        <v>88341</v>
      </c>
      <c r="L224" s="102">
        <v>86658</v>
      </c>
      <c r="M224" s="102">
        <f>87219+1200</f>
        <v>88419</v>
      </c>
      <c r="N224" s="102">
        <f>87780+1200</f>
        <v>88980</v>
      </c>
      <c r="O224" s="102">
        <f>88341+1100</f>
        <v>89441</v>
      </c>
      <c r="P224" s="103">
        <v>2.17</v>
      </c>
      <c r="Q224" s="104">
        <v>200</v>
      </c>
      <c r="R224" s="240">
        <v>250</v>
      </c>
      <c r="S224" s="240">
        <v>125</v>
      </c>
      <c r="T224" s="101"/>
      <c r="U224" s="105">
        <v>350</v>
      </c>
      <c r="V224" s="105">
        <v>100</v>
      </c>
      <c r="W224" s="108" t="s">
        <v>561</v>
      </c>
      <c r="X224" s="108" t="s">
        <v>564</v>
      </c>
    </row>
    <row r="225" spans="1:24" ht="12" customHeight="1" x14ac:dyDescent="0.25">
      <c r="A225" s="99">
        <v>81900</v>
      </c>
      <c r="B225" s="197" t="s">
        <v>670</v>
      </c>
      <c r="C225" s="20">
        <v>30000</v>
      </c>
      <c r="D225" s="21">
        <f t="shared" si="193"/>
        <v>10913.391599999999</v>
      </c>
      <c r="E225" s="21">
        <f t="shared" si="194"/>
        <v>6159.3915999999999</v>
      </c>
      <c r="F225" s="21">
        <f t="shared" si="195"/>
        <v>4616.3915999999999</v>
      </c>
      <c r="G225" s="21">
        <f t="shared" si="196"/>
        <v>3844.8915999999995</v>
      </c>
      <c r="H225" s="21">
        <f t="shared" si="197"/>
        <v>3381.9915999999998</v>
      </c>
      <c r="I225" s="21">
        <f t="shared" si="198"/>
        <v>3073.3916000000004</v>
      </c>
      <c r="J225" s="101"/>
      <c r="K225" s="102">
        <f>85548</f>
        <v>85548</v>
      </c>
      <c r="L225" s="102">
        <f>84730</f>
        <v>84730</v>
      </c>
      <c r="M225" s="102">
        <f>85002+1200</f>
        <v>86202</v>
      </c>
      <c r="N225" s="102">
        <f>85275+1200</f>
        <v>86475</v>
      </c>
      <c r="O225" s="102">
        <f>85548+1100</f>
        <v>86648</v>
      </c>
      <c r="P225" s="103">
        <v>2.17</v>
      </c>
      <c r="Q225" s="104">
        <v>200</v>
      </c>
      <c r="R225" s="240">
        <v>250</v>
      </c>
      <c r="S225" s="240">
        <v>125</v>
      </c>
      <c r="T225" s="101"/>
      <c r="U225" s="105">
        <v>200</v>
      </c>
      <c r="V225" s="105">
        <v>100</v>
      </c>
      <c r="W225" s="108" t="s">
        <v>697</v>
      </c>
      <c r="X225" s="108" t="s">
        <v>699</v>
      </c>
    </row>
    <row r="226" spans="1:24" ht="12" customHeight="1" x14ac:dyDescent="0.25">
      <c r="A226" s="99">
        <v>84900</v>
      </c>
      <c r="B226" s="197" t="s">
        <v>671</v>
      </c>
      <c r="C226" s="20">
        <v>30000</v>
      </c>
      <c r="D226" s="21">
        <f t="shared" ref="D226" si="199">IF(C226&gt;=1,(K226-C226)*(1+P226*$D$4/100)/$D$4+Q226+R226,"")</f>
        <v>11693.794699999999</v>
      </c>
      <c r="E226" s="21">
        <f t="shared" ref="E226" si="200">IF(C226&gt;=1,(K226-C226)*(1+P226*$E$4/100)/$E$4+Q226+S226,"")</f>
        <v>6594.5446999999995</v>
      </c>
      <c r="F226" s="21">
        <f t="shared" ref="F226" si="201">IF(C226&gt;=1,(K226-C226)*(1+$P226*$F$4/100)/$F$4+Q226+S226, "")</f>
        <v>4936.4613666666664</v>
      </c>
      <c r="G226" s="21">
        <f t="shared" ref="G226" si="202">IF(C226&gt;=1, (K226-C226)*(1+$P226*$G$4/100)/$G$4+Q226+S226,"")</f>
        <v>4107.4197000000004</v>
      </c>
      <c r="H226" s="21">
        <f t="shared" ref="H226" si="203">IF(C226&gt;=1, (K226-C226)*(1+$P226*$H$4/100)/$H$4+Q226+S226, "")</f>
        <v>3609.9946999999997</v>
      </c>
      <c r="I226" s="21">
        <f t="shared" ref="I226" si="204">IF(C226&gt;=1, (K226-C226)*(1+$P226*$I$4/100)/$I$4+Q226+S226, "")</f>
        <v>3278.3780333333334</v>
      </c>
      <c r="J226" s="101"/>
      <c r="K226" s="102">
        <f>89691</f>
        <v>89691</v>
      </c>
      <c r="L226" s="102">
        <f>88008</f>
        <v>88008</v>
      </c>
      <c r="M226" s="102">
        <f>88569+1200</f>
        <v>89769</v>
      </c>
      <c r="N226" s="102">
        <f>89130+1200</f>
        <v>90330</v>
      </c>
      <c r="O226" s="102">
        <f>89691+1100</f>
        <v>90791</v>
      </c>
      <c r="P226" s="103">
        <v>2.17</v>
      </c>
      <c r="Q226" s="104">
        <v>200</v>
      </c>
      <c r="R226" s="240">
        <v>250</v>
      </c>
      <c r="S226" s="240">
        <v>125</v>
      </c>
      <c r="T226" s="101"/>
      <c r="U226" s="105">
        <v>200</v>
      </c>
      <c r="V226" s="105">
        <v>100</v>
      </c>
      <c r="W226" s="108" t="s">
        <v>697</v>
      </c>
      <c r="X226" s="108" t="s">
        <v>700</v>
      </c>
    </row>
    <row r="227" spans="1:24" ht="12" customHeight="1" x14ac:dyDescent="0.25">
      <c r="A227" s="99">
        <v>91900</v>
      </c>
      <c r="B227" s="107" t="s">
        <v>157</v>
      </c>
      <c r="C227" s="20"/>
      <c r="D227" s="21" t="str">
        <f t="shared" si="186"/>
        <v/>
      </c>
      <c r="E227" s="21" t="str">
        <f t="shared" si="181"/>
        <v/>
      </c>
      <c r="F227" s="21" t="str">
        <f t="shared" si="182"/>
        <v/>
      </c>
      <c r="G227" s="21" t="str">
        <f t="shared" si="183"/>
        <v/>
      </c>
      <c r="H227" s="21" t="str">
        <f t="shared" si="184"/>
        <v/>
      </c>
      <c r="I227" s="21" t="str">
        <f t="shared" si="185"/>
        <v/>
      </c>
      <c r="J227" s="101"/>
      <c r="K227" s="102">
        <v>94114</v>
      </c>
      <c r="L227" s="102">
        <v>91900</v>
      </c>
      <c r="M227" s="102">
        <f>93598+240</f>
        <v>93838</v>
      </c>
      <c r="N227" s="102">
        <f>94336+240</f>
        <v>94576</v>
      </c>
      <c r="O227" s="102">
        <f>94974+240</f>
        <v>95214</v>
      </c>
      <c r="P227" s="103">
        <v>2.17</v>
      </c>
      <c r="Q227" s="104">
        <v>200</v>
      </c>
      <c r="R227" s="240">
        <v>250</v>
      </c>
      <c r="S227" s="240">
        <v>125</v>
      </c>
      <c r="T227" s="101"/>
      <c r="U227" s="105">
        <v>200</v>
      </c>
      <c r="V227" s="105">
        <v>100</v>
      </c>
      <c r="W227" s="106" t="s">
        <v>155</v>
      </c>
      <c r="X227" s="106"/>
    </row>
    <row r="228" spans="1:24" ht="12" customHeight="1" x14ac:dyDescent="0.25">
      <c r="A228" s="99">
        <v>99900</v>
      </c>
      <c r="B228" s="107" t="s">
        <v>333</v>
      </c>
      <c r="C228" s="20"/>
      <c r="D228" s="21" t="str">
        <f t="shared" si="186"/>
        <v/>
      </c>
      <c r="E228" s="21" t="str">
        <f t="shared" si="181"/>
        <v/>
      </c>
      <c r="F228" s="21" t="str">
        <f t="shared" si="182"/>
        <v/>
      </c>
      <c r="G228" s="21" t="str">
        <f t="shared" si="183"/>
        <v/>
      </c>
      <c r="H228" s="21" t="str">
        <f t="shared" si="184"/>
        <v/>
      </c>
      <c r="I228" s="21" t="str">
        <f t="shared" si="185"/>
        <v/>
      </c>
      <c r="J228" s="101"/>
      <c r="K228" s="102">
        <v>101844</v>
      </c>
      <c r="L228" s="102">
        <v>100400</v>
      </c>
      <c r="M228" s="102">
        <f>100881+1200</f>
        <v>102081</v>
      </c>
      <c r="N228" s="102">
        <f>101362+1200</f>
        <v>102562</v>
      </c>
      <c r="O228" s="102">
        <f>101844+1100</f>
        <v>102944</v>
      </c>
      <c r="P228" s="103">
        <v>2.17</v>
      </c>
      <c r="Q228" s="104">
        <v>200</v>
      </c>
      <c r="R228" s="240">
        <v>250</v>
      </c>
      <c r="S228" s="240">
        <v>125</v>
      </c>
      <c r="T228" s="101"/>
      <c r="U228" s="105">
        <v>200</v>
      </c>
      <c r="V228" s="105">
        <v>100</v>
      </c>
      <c r="W228" s="108" t="s">
        <v>326</v>
      </c>
      <c r="X228" s="108" t="s">
        <v>327</v>
      </c>
    </row>
    <row r="229" spans="1:24" ht="12" customHeight="1" x14ac:dyDescent="0.25">
      <c r="A229" s="99">
        <v>122900</v>
      </c>
      <c r="B229" s="107" t="s">
        <v>543</v>
      </c>
      <c r="C229" s="20"/>
      <c r="D229" s="21" t="str">
        <f t="shared" si="186"/>
        <v/>
      </c>
      <c r="E229" s="21" t="str">
        <f t="shared" si="181"/>
        <v/>
      </c>
      <c r="F229" s="21" t="str">
        <f t="shared" si="182"/>
        <v/>
      </c>
      <c r="G229" s="21" t="str">
        <f t="shared" si="183"/>
        <v/>
      </c>
      <c r="H229" s="21" t="str">
        <f t="shared" si="184"/>
        <v/>
      </c>
      <c r="I229" s="21" t="str">
        <f t="shared" si="185"/>
        <v/>
      </c>
      <c r="J229" s="101"/>
      <c r="K229" s="102">
        <f>127287</f>
        <v>127287</v>
      </c>
      <c r="L229" s="102">
        <f>124180</f>
        <v>124180</v>
      </c>
      <c r="M229" s="102">
        <f>125215+1200</f>
        <v>126415</v>
      </c>
      <c r="N229" s="102">
        <f>126251+1200</f>
        <v>127451</v>
      </c>
      <c r="O229" s="102">
        <f>127287+1100</f>
        <v>128387</v>
      </c>
      <c r="P229" s="103">
        <v>2.17</v>
      </c>
      <c r="Q229" s="104">
        <v>200</v>
      </c>
      <c r="R229" s="240">
        <v>250</v>
      </c>
      <c r="S229" s="240">
        <v>125</v>
      </c>
      <c r="T229" s="101"/>
      <c r="U229" s="105">
        <v>350</v>
      </c>
      <c r="V229" s="105">
        <v>100</v>
      </c>
      <c r="W229" s="108" t="s">
        <v>546</v>
      </c>
      <c r="X229" s="108" t="s">
        <v>547</v>
      </c>
    </row>
    <row r="230" spans="1:24" ht="12" customHeight="1" x14ac:dyDescent="0.25">
      <c r="A230" s="99">
        <v>116900</v>
      </c>
      <c r="B230" s="107" t="s">
        <v>609</v>
      </c>
      <c r="C230" s="20"/>
      <c r="D230" s="21" t="str">
        <f t="shared" ref="D230:D231" si="205">IF(C230&gt;=1,(K230-C230)*(1+P230*$D$4/100)/$D$4+Q230+R230,"")</f>
        <v/>
      </c>
      <c r="E230" s="21" t="str">
        <f t="shared" ref="E230:E231" si="206">IF(C230&gt;=1,(K230-C230)*(1+P230*$E$4/100)/$E$4+Q230+S230,"")</f>
        <v/>
      </c>
      <c r="F230" s="21" t="str">
        <f t="shared" ref="F230:F231" si="207">IF(C230&gt;=1,(K230-C230)*(1+$P230*$F$4/100)/$F$4+Q230+S230, "")</f>
        <v/>
      </c>
      <c r="G230" s="21" t="str">
        <f t="shared" ref="G230:G231" si="208">IF(C230&gt;=1, (K230-C230)*(1+$P230*$G$4/100)/$G$4+Q230+S230,"")</f>
        <v/>
      </c>
      <c r="H230" s="21" t="str">
        <f t="shared" ref="H230" si="209">IF(C230&gt;=1, (K230-C230)*(1+$P230*$H$4/100)/$H$4+Q230+S230, "")</f>
        <v/>
      </c>
      <c r="I230" s="21" t="str">
        <f t="shared" ref="I230:I231" si="210">IF(C230&gt;=1, (K230-C230)*(1+$P230*$I$4/100)/$I$4+Q230+S230, "")</f>
        <v/>
      </c>
      <c r="J230" s="101"/>
      <c r="K230" s="102">
        <f>121794</f>
        <v>121794</v>
      </c>
      <c r="L230" s="102">
        <f>119474</f>
        <v>119474</v>
      </c>
      <c r="M230" s="102">
        <f>120247+1200</f>
        <v>121447</v>
      </c>
      <c r="N230" s="102">
        <f>121021+1200</f>
        <v>122221</v>
      </c>
      <c r="O230" s="102">
        <f>121794+1100</f>
        <v>122894</v>
      </c>
      <c r="P230" s="103">
        <v>2.17</v>
      </c>
      <c r="Q230" s="104">
        <v>200</v>
      </c>
      <c r="R230" s="240">
        <v>250</v>
      </c>
      <c r="S230" s="240">
        <v>125</v>
      </c>
      <c r="T230" s="101"/>
      <c r="U230" s="105">
        <v>200</v>
      </c>
      <c r="V230" s="105">
        <v>100</v>
      </c>
      <c r="W230" s="108" t="s">
        <v>610</v>
      </c>
      <c r="X230" s="108" t="s">
        <v>611</v>
      </c>
    </row>
    <row r="231" spans="1:24" ht="12" customHeight="1" x14ac:dyDescent="0.25">
      <c r="A231" s="99">
        <v>101900</v>
      </c>
      <c r="B231" s="107" t="s">
        <v>628</v>
      </c>
      <c r="C231" s="20">
        <v>50000</v>
      </c>
      <c r="D231" s="21">
        <f t="shared" si="205"/>
        <v>11013.414299999999</v>
      </c>
      <c r="E231" s="21">
        <f t="shared" si="206"/>
        <v>6215.1643000000004</v>
      </c>
      <c r="F231" s="21">
        <f t="shared" si="207"/>
        <v>4657.4143000000004</v>
      </c>
      <c r="G231" s="21">
        <f t="shared" si="208"/>
        <v>3878.5392999999999</v>
      </c>
      <c r="H231" s="21">
        <f>IF(C231&gt;=1, (K231-C231)*(1+$P231*$H$4/100)/$H$4+Q231+S231, "")</f>
        <v>3411.2142999999996</v>
      </c>
      <c r="I231" s="21">
        <f t="shared" si="210"/>
        <v>3099.6643000000004</v>
      </c>
      <c r="J231" s="101"/>
      <c r="K231" s="102">
        <f>106079</f>
        <v>106079</v>
      </c>
      <c r="L231" s="102">
        <f>104065</f>
        <v>104065</v>
      </c>
      <c r="M231" s="102">
        <f>104736+1200</f>
        <v>105936</v>
      </c>
      <c r="N231" s="102">
        <f>105408+1200</f>
        <v>106608</v>
      </c>
      <c r="O231" s="102">
        <f>106079+1100</f>
        <v>107179</v>
      </c>
      <c r="P231" s="103">
        <v>2.17</v>
      </c>
      <c r="Q231" s="104">
        <v>200</v>
      </c>
      <c r="R231" s="240">
        <v>250</v>
      </c>
      <c r="S231" s="240">
        <v>125</v>
      </c>
      <c r="T231" s="101"/>
      <c r="U231" s="105">
        <v>200</v>
      </c>
      <c r="V231" s="105">
        <v>100</v>
      </c>
      <c r="W231" s="108" t="s">
        <v>697</v>
      </c>
      <c r="X231" s="106" t="s">
        <v>701</v>
      </c>
    </row>
    <row r="232" spans="1:24" ht="12" customHeight="1" x14ac:dyDescent="0.25">
      <c r="A232" s="99">
        <v>93900</v>
      </c>
      <c r="B232" s="100" t="s">
        <v>163</v>
      </c>
      <c r="C232" s="20"/>
      <c r="D232" s="21" t="str">
        <f t="shared" si="186"/>
        <v/>
      </c>
      <c r="E232" s="21" t="str">
        <f t="shared" si="181"/>
        <v/>
      </c>
      <c r="F232" s="21" t="str">
        <f t="shared" si="182"/>
        <v/>
      </c>
      <c r="G232" s="21" t="str">
        <f t="shared" si="183"/>
        <v/>
      </c>
      <c r="H232" s="21" t="str">
        <f>IF(C232&gt;=1, (K232-C232)*(1+$P232*$H$4/100)/$H$4+Q232+S232, "")</f>
        <v/>
      </c>
      <c r="I232" s="21" t="str">
        <f t="shared" si="185"/>
        <v/>
      </c>
      <c r="J232" s="101"/>
      <c r="K232" s="102">
        <f>96842</f>
        <v>96842</v>
      </c>
      <c r="L232" s="102">
        <f>93900</f>
        <v>93900</v>
      </c>
      <c r="M232" s="102">
        <f>94880+1200</f>
        <v>96080</v>
      </c>
      <c r="N232" s="102">
        <f>95861+1200</f>
        <v>97061</v>
      </c>
      <c r="O232" s="102">
        <f>96842+1100</f>
        <v>97942</v>
      </c>
      <c r="P232" s="103">
        <v>2.17</v>
      </c>
      <c r="Q232" s="104"/>
      <c r="R232" s="240">
        <v>250</v>
      </c>
      <c r="S232" s="240">
        <v>125</v>
      </c>
      <c r="T232" s="101"/>
      <c r="U232" s="105">
        <v>200</v>
      </c>
      <c r="V232" s="105">
        <v>100</v>
      </c>
      <c r="W232" s="106" t="s">
        <v>162</v>
      </c>
      <c r="X232" s="106"/>
    </row>
    <row r="233" spans="1:24" ht="12" customHeight="1" x14ac:dyDescent="0.25">
      <c r="A233" s="99">
        <v>72900</v>
      </c>
      <c r="B233" s="197" t="s">
        <v>323</v>
      </c>
      <c r="C233" s="20"/>
      <c r="D233" s="21" t="str">
        <f t="shared" si="186"/>
        <v/>
      </c>
      <c r="E233" s="21" t="str">
        <f t="shared" si="181"/>
        <v/>
      </c>
      <c r="F233" s="21" t="str">
        <f t="shared" si="182"/>
        <v/>
      </c>
      <c r="G233" s="21" t="str">
        <f t="shared" si="183"/>
        <v/>
      </c>
      <c r="H233" s="21" t="str">
        <f t="shared" si="184"/>
        <v/>
      </c>
      <c r="I233" s="21" t="str">
        <f t="shared" si="185"/>
        <v/>
      </c>
      <c r="J233" s="101"/>
      <c r="K233" s="102">
        <v>77059</v>
      </c>
      <c r="L233" s="102">
        <v>75617</v>
      </c>
      <c r="M233" s="102">
        <f>76097+1200</f>
        <v>77297</v>
      </c>
      <c r="N233" s="102">
        <f>76578+1200</f>
        <v>77778</v>
      </c>
      <c r="O233" s="102">
        <f>77059+1100</f>
        <v>78159</v>
      </c>
      <c r="P233" s="103">
        <v>2.17</v>
      </c>
      <c r="Q233" s="104">
        <v>200</v>
      </c>
      <c r="R233" s="240">
        <v>250</v>
      </c>
      <c r="S233" s="240">
        <v>125</v>
      </c>
      <c r="T233" s="101"/>
      <c r="U233" s="105">
        <v>350</v>
      </c>
      <c r="V233" s="105">
        <v>100</v>
      </c>
      <c r="W233" s="108" t="s">
        <v>427</v>
      </c>
      <c r="X233" s="106" t="s">
        <v>438</v>
      </c>
    </row>
    <row r="234" spans="1:24" ht="12" customHeight="1" x14ac:dyDescent="0.25">
      <c r="A234" s="99">
        <v>150900</v>
      </c>
      <c r="B234" s="197" t="s">
        <v>279</v>
      </c>
      <c r="C234" s="20"/>
      <c r="D234" s="21" t="str">
        <f t="shared" si="186"/>
        <v/>
      </c>
      <c r="E234" s="21" t="str">
        <f t="shared" si="181"/>
        <v/>
      </c>
      <c r="F234" s="21" t="str">
        <f t="shared" si="182"/>
        <v/>
      </c>
      <c r="G234" s="21" t="str">
        <f t="shared" si="183"/>
        <v/>
      </c>
      <c r="H234" s="21" t="str">
        <f t="shared" si="184"/>
        <v/>
      </c>
      <c r="I234" s="21" t="str">
        <f t="shared" si="185"/>
        <v/>
      </c>
      <c r="J234" s="101"/>
      <c r="K234" s="102">
        <v>154054</v>
      </c>
      <c r="L234" s="102">
        <v>152400</v>
      </c>
      <c r="M234" s="102">
        <f>152951+1200</f>
        <v>154151</v>
      </c>
      <c r="N234" s="102">
        <f>153502+1200</f>
        <v>154702</v>
      </c>
      <c r="O234" s="102">
        <f>154054+1100</f>
        <v>155154</v>
      </c>
      <c r="P234" s="103">
        <v>2.17</v>
      </c>
      <c r="Q234" s="104">
        <v>200</v>
      </c>
      <c r="R234" s="240">
        <v>250</v>
      </c>
      <c r="S234" s="240">
        <v>125</v>
      </c>
      <c r="T234" s="101"/>
      <c r="U234" s="105">
        <v>350</v>
      </c>
      <c r="V234" s="105">
        <v>100</v>
      </c>
      <c r="W234" s="108" t="s">
        <v>427</v>
      </c>
      <c r="X234" s="106" t="s">
        <v>439</v>
      </c>
    </row>
    <row r="235" spans="1:24" ht="12" customHeight="1" x14ac:dyDescent="0.25">
      <c r="A235" s="99">
        <v>166900</v>
      </c>
      <c r="B235" s="197" t="s">
        <v>403</v>
      </c>
      <c r="C235" s="20">
        <v>50000</v>
      </c>
      <c r="D235" s="21">
        <f t="shared" si="186"/>
        <v>23072.083199999997</v>
      </c>
      <c r="E235" s="21">
        <f t="shared" si="181"/>
        <v>12939.083199999999</v>
      </c>
      <c r="F235" s="21">
        <f t="shared" si="182"/>
        <v>9603.0832000000009</v>
      </c>
      <c r="G235" s="21">
        <f t="shared" si="183"/>
        <v>7935.0832</v>
      </c>
      <c r="H235" s="21">
        <f t="shared" si="184"/>
        <v>6934.2831999999999</v>
      </c>
      <c r="I235" s="21">
        <f t="shared" si="185"/>
        <v>6267.0832</v>
      </c>
      <c r="J235" s="101"/>
      <c r="K235" s="102">
        <f>170096</f>
        <v>170096</v>
      </c>
      <c r="L235" s="102">
        <f>168180</f>
        <v>168180</v>
      </c>
      <c r="M235" s="102">
        <f>168818+1200</f>
        <v>170018</v>
      </c>
      <c r="N235" s="102">
        <f>169457+1200</f>
        <v>170657</v>
      </c>
      <c r="O235" s="102">
        <f>170096+1100</f>
        <v>171196</v>
      </c>
      <c r="P235" s="103">
        <v>2.17</v>
      </c>
      <c r="Q235" s="104">
        <v>200</v>
      </c>
      <c r="R235" s="240">
        <v>250</v>
      </c>
      <c r="S235" s="240">
        <v>125</v>
      </c>
      <c r="T235" s="101"/>
      <c r="U235" s="105">
        <v>350</v>
      </c>
      <c r="V235" s="105">
        <v>100</v>
      </c>
      <c r="W235" s="108" t="s">
        <v>503</v>
      </c>
      <c r="X235" s="106" t="s">
        <v>504</v>
      </c>
    </row>
    <row r="236" spans="1:24" ht="12" customHeight="1" x14ac:dyDescent="0.25">
      <c r="A236" s="99">
        <v>306000</v>
      </c>
      <c r="B236" s="197" t="s">
        <v>686</v>
      </c>
      <c r="C236" s="20">
        <v>150000</v>
      </c>
      <c r="D236" s="21">
        <f t="shared" ref="D236" si="211">IF(C236&gt;=1,(K236-C236)*(1+P236*$D$4/100)/$D$4+Q236+R236,"")</f>
        <v>30638.207099999996</v>
      </c>
      <c r="E236" s="21">
        <f t="shared" ref="E236" si="212">IF(C236&gt;=1,(K236-C236)*(1+P236*$E$4/100)/$E$4+Q236+S236,"")</f>
        <v>17157.9571</v>
      </c>
      <c r="F236" s="21">
        <f t="shared" ref="F236" si="213">IF(C236&gt;=1,(K236-C236)*(1+$P236*$F$4/100)/$F$4+Q236+S236, "")</f>
        <v>12706.207100000001</v>
      </c>
      <c r="G236" s="21">
        <f t="shared" ref="G236" si="214">IF(C236&gt;=1, (K236-C236)*(1+$P236*$G$4/100)/$G$4+Q236+S236,"")</f>
        <v>10480.3321</v>
      </c>
      <c r="H236" s="21">
        <f t="shared" ref="H236" si="215">IF(C236&gt;=1, (K236-C236)*(1+$P236*$H$4/100)/$H$4+Q236+S236, "")</f>
        <v>9144.8071</v>
      </c>
      <c r="I236" s="21">
        <f t="shared" ref="I236" si="216">IF(C236&gt;=1, (K236-C236)*(1+$P236*$I$4/100)/$I$4+Q236+S236, "")</f>
        <v>8254.4571000000014</v>
      </c>
      <c r="J236" s="101"/>
      <c r="K236" s="102">
        <f>310263</f>
        <v>310263</v>
      </c>
      <c r="L236" s="102">
        <f>306000</f>
        <v>306000</v>
      </c>
      <c r="M236" s="102">
        <f>307421+1200</f>
        <v>308621</v>
      </c>
      <c r="N236" s="102">
        <f>308842+1200</f>
        <v>310042</v>
      </c>
      <c r="O236" s="102">
        <f>310263+1100</f>
        <v>311363</v>
      </c>
      <c r="P236" s="103">
        <v>2.17</v>
      </c>
      <c r="Q236" s="104">
        <v>200</v>
      </c>
      <c r="R236" s="240">
        <v>250</v>
      </c>
      <c r="S236" s="240">
        <v>125</v>
      </c>
      <c r="T236" s="101"/>
      <c r="U236" s="105">
        <v>350</v>
      </c>
      <c r="V236" s="105">
        <v>100</v>
      </c>
      <c r="W236" s="108" t="s">
        <v>687</v>
      </c>
      <c r="X236" s="106" t="s">
        <v>688</v>
      </c>
    </row>
    <row r="237" spans="1:24" ht="12" customHeight="1" x14ac:dyDescent="0.25">
      <c r="A237" s="99">
        <v>48700</v>
      </c>
      <c r="B237" s="100" t="s">
        <v>166</v>
      </c>
      <c r="C237" s="20"/>
      <c r="D237" s="21" t="str">
        <f t="shared" si="186"/>
        <v/>
      </c>
      <c r="E237" s="21" t="str">
        <f t="shared" si="181"/>
        <v/>
      </c>
      <c r="F237" s="21" t="str">
        <f t="shared" si="182"/>
        <v/>
      </c>
      <c r="G237" s="21" t="str">
        <f t="shared" si="183"/>
        <v/>
      </c>
      <c r="H237" s="21" t="str">
        <f t="shared" si="184"/>
        <v/>
      </c>
      <c r="I237" s="21" t="str">
        <f t="shared" si="185"/>
        <v/>
      </c>
      <c r="J237" s="101"/>
      <c r="K237" s="102">
        <v>53681</v>
      </c>
      <c r="L237" s="102">
        <v>51803</v>
      </c>
      <c r="M237" s="102">
        <f>52429+1200</f>
        <v>53629</v>
      </c>
      <c r="N237" s="102">
        <f>53055+1200</f>
        <v>54255</v>
      </c>
      <c r="O237" s="102">
        <f>53681+1100</f>
        <v>54781</v>
      </c>
      <c r="P237" s="103">
        <v>2.17</v>
      </c>
      <c r="Q237" s="104"/>
      <c r="R237" s="240">
        <v>250</v>
      </c>
      <c r="S237" s="240">
        <v>125</v>
      </c>
      <c r="T237" s="101"/>
      <c r="U237" s="105">
        <v>200</v>
      </c>
      <c r="V237" s="105">
        <v>100</v>
      </c>
      <c r="W237" s="108" t="s">
        <v>182</v>
      </c>
      <c r="X237" s="108"/>
    </row>
    <row r="238" spans="1:24" ht="12.75" customHeight="1" x14ac:dyDescent="0.25">
      <c r="A238" s="99">
        <v>44900</v>
      </c>
      <c r="B238" s="100" t="s">
        <v>165</v>
      </c>
      <c r="C238" s="20"/>
      <c r="D238" s="21" t="str">
        <f t="shared" si="186"/>
        <v/>
      </c>
      <c r="E238" s="21" t="str">
        <f t="shared" si="181"/>
        <v/>
      </c>
      <c r="F238" s="21" t="str">
        <f t="shared" si="182"/>
        <v/>
      </c>
      <c r="G238" s="21" t="str">
        <f t="shared" si="183"/>
        <v/>
      </c>
      <c r="H238" s="21" t="str">
        <f t="shared" si="184"/>
        <v/>
      </c>
      <c r="I238" s="21" t="str">
        <f t="shared" si="185"/>
        <v/>
      </c>
      <c r="J238" s="101"/>
      <c r="K238" s="102">
        <f>49894</f>
        <v>49894</v>
      </c>
      <c r="L238" s="102">
        <f>48086</f>
        <v>48086</v>
      </c>
      <c r="M238" s="102">
        <f>48688+1200</f>
        <v>49888</v>
      </c>
      <c r="N238" s="102">
        <f>49291+1200</f>
        <v>50491</v>
      </c>
      <c r="O238" s="102">
        <f>49894+1100</f>
        <v>50994</v>
      </c>
      <c r="P238" s="103">
        <v>2.17</v>
      </c>
      <c r="Q238" s="104"/>
      <c r="R238" s="240">
        <v>250</v>
      </c>
      <c r="S238" s="240">
        <v>125</v>
      </c>
      <c r="T238" s="101"/>
      <c r="U238" s="105">
        <v>200</v>
      </c>
      <c r="V238" s="105">
        <v>100</v>
      </c>
      <c r="W238" s="106" t="s">
        <v>162</v>
      </c>
      <c r="X238" s="106"/>
    </row>
    <row r="239" spans="1:24" ht="12.75" customHeight="1" x14ac:dyDescent="0.25">
      <c r="A239" s="99">
        <v>47700</v>
      </c>
      <c r="B239" s="100" t="s">
        <v>185</v>
      </c>
      <c r="C239" s="20"/>
      <c r="D239" s="21" t="str">
        <f t="shared" si="186"/>
        <v/>
      </c>
      <c r="E239" s="21" t="str">
        <f t="shared" si="181"/>
        <v/>
      </c>
      <c r="F239" s="21" t="str">
        <f t="shared" si="182"/>
        <v/>
      </c>
      <c r="G239" s="21" t="str">
        <f t="shared" si="183"/>
        <v/>
      </c>
      <c r="H239" s="21" t="str">
        <f t="shared" si="184"/>
        <v/>
      </c>
      <c r="I239" s="21" t="str">
        <f t="shared" si="185"/>
        <v/>
      </c>
      <c r="J239" s="101"/>
      <c r="K239" s="102">
        <v>52681</v>
      </c>
      <c r="L239" s="102">
        <v>50803</v>
      </c>
      <c r="M239" s="102">
        <f>51429+1200</f>
        <v>52629</v>
      </c>
      <c r="N239" s="102">
        <f>52055+1200</f>
        <v>53255</v>
      </c>
      <c r="O239" s="102">
        <f>52681+1100</f>
        <v>53781</v>
      </c>
      <c r="P239" s="103">
        <v>2.17</v>
      </c>
      <c r="Q239" s="104"/>
      <c r="R239" s="240">
        <v>250</v>
      </c>
      <c r="S239" s="240">
        <v>125</v>
      </c>
      <c r="T239" s="101"/>
      <c r="U239" s="105">
        <v>200</v>
      </c>
      <c r="V239" s="105">
        <v>100</v>
      </c>
      <c r="W239" s="108" t="s">
        <v>182</v>
      </c>
      <c r="X239" s="108"/>
    </row>
    <row r="240" spans="1:24" ht="12.75" customHeight="1" x14ac:dyDescent="0.25">
      <c r="A240" s="99">
        <v>62900</v>
      </c>
      <c r="B240" s="111" t="s">
        <v>544</v>
      </c>
      <c r="C240" s="20"/>
      <c r="D240" s="21" t="str">
        <f t="shared" si="186"/>
        <v/>
      </c>
      <c r="E240" s="21" t="str">
        <f t="shared" si="181"/>
        <v/>
      </c>
      <c r="F240" s="21" t="str">
        <f t="shared" si="182"/>
        <v/>
      </c>
      <c r="G240" s="21" t="str">
        <f t="shared" si="183"/>
        <v/>
      </c>
      <c r="H240" s="21" t="str">
        <f t="shared" si="184"/>
        <v/>
      </c>
      <c r="I240" s="21" t="str">
        <f t="shared" si="185"/>
        <v/>
      </c>
      <c r="J240" s="101"/>
      <c r="K240" s="102">
        <v>68025</v>
      </c>
      <c r="L240" s="102">
        <v>66772</v>
      </c>
      <c r="M240" s="102">
        <f>67189+1200</f>
        <v>68389</v>
      </c>
      <c r="N240" s="102">
        <f>67607+1200</f>
        <v>68807</v>
      </c>
      <c r="O240" s="102">
        <f>68025+1100</f>
        <v>69125</v>
      </c>
      <c r="P240" s="103">
        <v>2.17</v>
      </c>
      <c r="Q240" s="104">
        <v>200</v>
      </c>
      <c r="R240" s="240">
        <v>250</v>
      </c>
      <c r="S240" s="240">
        <v>125</v>
      </c>
      <c r="T240" s="101"/>
      <c r="U240" s="105">
        <v>350</v>
      </c>
      <c r="V240" s="105">
        <v>100</v>
      </c>
      <c r="W240" s="108" t="s">
        <v>548</v>
      </c>
      <c r="X240" s="108" t="s">
        <v>549</v>
      </c>
    </row>
    <row r="241" spans="1:25" ht="12.75" customHeight="1" x14ac:dyDescent="0.25">
      <c r="A241" s="99">
        <v>64900</v>
      </c>
      <c r="B241" s="111" t="s">
        <v>545</v>
      </c>
      <c r="C241" s="20"/>
      <c r="D241" s="21" t="str">
        <f t="shared" si="186"/>
        <v/>
      </c>
      <c r="E241" s="21" t="str">
        <f t="shared" si="181"/>
        <v/>
      </c>
      <c r="F241" s="21" t="str">
        <f t="shared" si="182"/>
        <v/>
      </c>
      <c r="G241" s="21" t="str">
        <f t="shared" si="183"/>
        <v/>
      </c>
      <c r="H241" s="21" t="str">
        <f t="shared" si="184"/>
        <v/>
      </c>
      <c r="I241" s="21" t="str">
        <f t="shared" si="185"/>
        <v/>
      </c>
      <c r="J241" s="101"/>
      <c r="K241" s="102">
        <v>69923</v>
      </c>
      <c r="L241" s="102">
        <v>68615</v>
      </c>
      <c r="M241" s="102">
        <f>69051+1200</f>
        <v>70251</v>
      </c>
      <c r="N241" s="102">
        <f>69487+1200</f>
        <v>70687</v>
      </c>
      <c r="O241" s="102">
        <f>69923+1100</f>
        <v>71023</v>
      </c>
      <c r="P241" s="103">
        <v>2.17</v>
      </c>
      <c r="Q241" s="104">
        <v>200</v>
      </c>
      <c r="R241" s="240">
        <v>250</v>
      </c>
      <c r="S241" s="240">
        <v>125</v>
      </c>
      <c r="T241" s="101"/>
      <c r="U241" s="105">
        <v>350</v>
      </c>
      <c r="V241" s="105">
        <v>100</v>
      </c>
      <c r="W241" s="108" t="s">
        <v>548</v>
      </c>
      <c r="X241" s="108" t="s">
        <v>549</v>
      </c>
    </row>
    <row r="242" spans="1:25" x14ac:dyDescent="0.25">
      <c r="A242" s="99">
        <v>56900</v>
      </c>
      <c r="B242" s="205" t="s">
        <v>225</v>
      </c>
      <c r="C242" s="20"/>
      <c r="D242" s="21" t="str">
        <f t="shared" si="186"/>
        <v/>
      </c>
      <c r="E242" s="21" t="str">
        <f t="shared" si="181"/>
        <v/>
      </c>
      <c r="F242" s="21" t="str">
        <f t="shared" si="182"/>
        <v/>
      </c>
      <c r="G242" s="21" t="str">
        <f t="shared" si="183"/>
        <v/>
      </c>
      <c r="H242" s="21" t="str">
        <f t="shared" si="184"/>
        <v/>
      </c>
      <c r="I242" s="21" t="str">
        <f t="shared" si="185"/>
        <v/>
      </c>
      <c r="J242" s="101"/>
      <c r="K242" s="102">
        <f>61308</f>
        <v>61308</v>
      </c>
      <c r="L242" s="102">
        <f>59598</f>
        <v>59598</v>
      </c>
      <c r="M242" s="102">
        <f>60168+1200</f>
        <v>61368</v>
      </c>
      <c r="N242" s="102">
        <f>60738+1200</f>
        <v>61938</v>
      </c>
      <c r="O242" s="102">
        <f>61308+1100</f>
        <v>62408</v>
      </c>
      <c r="P242" s="103">
        <v>2.17</v>
      </c>
      <c r="Q242" s="104">
        <v>200</v>
      </c>
      <c r="R242" s="240">
        <v>250</v>
      </c>
      <c r="S242" s="240">
        <v>125</v>
      </c>
      <c r="T242" s="101"/>
      <c r="U242" s="105">
        <v>200</v>
      </c>
      <c r="V242" s="105">
        <v>100</v>
      </c>
      <c r="W242" s="106">
        <v>43817</v>
      </c>
      <c r="X242" s="106" t="s">
        <v>229</v>
      </c>
    </row>
    <row r="243" spans="1:25" x14ac:dyDescent="0.25">
      <c r="A243" s="99">
        <v>60900</v>
      </c>
      <c r="B243" s="205" t="s">
        <v>224</v>
      </c>
      <c r="C243" s="20"/>
      <c r="D243" s="21" t="str">
        <f t="shared" si="186"/>
        <v/>
      </c>
      <c r="E243" s="21" t="str">
        <f t="shared" si="181"/>
        <v/>
      </c>
      <c r="F243" s="21" t="str">
        <f t="shared" si="182"/>
        <v/>
      </c>
      <c r="G243" s="21" t="str">
        <f t="shared" si="183"/>
        <v/>
      </c>
      <c r="H243" s="21" t="str">
        <f t="shared" si="184"/>
        <v/>
      </c>
      <c r="I243" s="21" t="str">
        <f t="shared" si="185"/>
        <v/>
      </c>
      <c r="J243" s="101"/>
      <c r="K243" s="102">
        <v>63907</v>
      </c>
      <c r="L243" s="102">
        <v>62808</v>
      </c>
      <c r="M243" s="102">
        <f>63174+1200</f>
        <v>64374</v>
      </c>
      <c r="N243" s="102">
        <f>63540+1200</f>
        <v>64740</v>
      </c>
      <c r="O243" s="102">
        <f>63907+1100</f>
        <v>65007</v>
      </c>
      <c r="P243" s="103">
        <v>2.17</v>
      </c>
      <c r="Q243" s="104">
        <v>200</v>
      </c>
      <c r="R243" s="240">
        <v>250</v>
      </c>
      <c r="S243" s="240">
        <v>125</v>
      </c>
      <c r="T243" s="101"/>
      <c r="U243" s="105">
        <v>200</v>
      </c>
      <c r="V243" s="105">
        <v>100</v>
      </c>
      <c r="W243" s="108" t="s">
        <v>226</v>
      </c>
      <c r="X243" s="108" t="s">
        <v>228</v>
      </c>
    </row>
    <row r="244" spans="1:25" x14ac:dyDescent="0.25">
      <c r="A244" s="99">
        <v>60900</v>
      </c>
      <c r="B244" s="100" t="s">
        <v>161</v>
      </c>
      <c r="C244" s="20"/>
      <c r="D244" s="21" t="str">
        <f t="shared" si="186"/>
        <v/>
      </c>
      <c r="E244" s="21" t="str">
        <f t="shared" si="181"/>
        <v/>
      </c>
      <c r="F244" s="21" t="str">
        <f t="shared" si="182"/>
        <v/>
      </c>
      <c r="G244" s="21" t="str">
        <f t="shared" si="183"/>
        <v/>
      </c>
      <c r="H244" s="21" t="str">
        <f t="shared" si="184"/>
        <v/>
      </c>
      <c r="I244" s="21" t="str">
        <f t="shared" si="185"/>
        <v/>
      </c>
      <c r="J244" s="101"/>
      <c r="K244" s="102">
        <f>65246</f>
        <v>65246</v>
      </c>
      <c r="L244" s="102">
        <f>63425</f>
        <v>63425</v>
      </c>
      <c r="M244" s="102">
        <f>64302+1200</f>
        <v>65502</v>
      </c>
      <c r="N244" s="102">
        <f>64639+1200</f>
        <v>65839</v>
      </c>
      <c r="O244" s="102">
        <f>65246+1100</f>
        <v>66346</v>
      </c>
      <c r="P244" s="103">
        <v>2.17</v>
      </c>
      <c r="Q244" s="104">
        <v>200</v>
      </c>
      <c r="R244" s="240">
        <v>250</v>
      </c>
      <c r="S244" s="240">
        <v>125</v>
      </c>
      <c r="T244" s="101"/>
      <c r="U244" s="105">
        <v>200</v>
      </c>
      <c r="V244" s="105">
        <v>100</v>
      </c>
      <c r="W244" s="106" t="s">
        <v>162</v>
      </c>
      <c r="X244" s="106"/>
    </row>
    <row r="245" spans="1:25" ht="12.75" customHeight="1" x14ac:dyDescent="0.25">
      <c r="A245" s="99">
        <v>73900</v>
      </c>
      <c r="B245" s="212" t="s">
        <v>339</v>
      </c>
      <c r="C245" s="20"/>
      <c r="D245" s="21" t="str">
        <f t="shared" si="186"/>
        <v/>
      </c>
      <c r="E245" s="21" t="str">
        <f t="shared" si="181"/>
        <v/>
      </c>
      <c r="F245" s="21" t="str">
        <f t="shared" si="182"/>
        <v/>
      </c>
      <c r="G245" s="21" t="str">
        <f t="shared" si="183"/>
        <v/>
      </c>
      <c r="H245" s="21" t="str">
        <f t="shared" si="184"/>
        <v/>
      </c>
      <c r="I245" s="21" t="str">
        <f t="shared" si="185"/>
        <v/>
      </c>
      <c r="J245" s="101"/>
      <c r="K245" s="102">
        <f>78926</f>
        <v>78926</v>
      </c>
      <c r="L245" s="102">
        <f>77547</f>
        <v>77547</v>
      </c>
      <c r="M245" s="102">
        <f>78006+1200</f>
        <v>79206</v>
      </c>
      <c r="N245" s="102">
        <f>78466+1200</f>
        <v>79666</v>
      </c>
      <c r="O245" s="102">
        <f>78926+1100</f>
        <v>80026</v>
      </c>
      <c r="P245" s="103">
        <v>2.17</v>
      </c>
      <c r="Q245" s="104">
        <v>200</v>
      </c>
      <c r="R245" s="240">
        <v>250</v>
      </c>
      <c r="S245" s="240">
        <v>125</v>
      </c>
      <c r="T245" s="101"/>
      <c r="U245" s="105">
        <v>200</v>
      </c>
      <c r="V245" s="105">
        <v>100</v>
      </c>
      <c r="W245" s="108" t="s">
        <v>422</v>
      </c>
      <c r="X245" s="106" t="s">
        <v>424</v>
      </c>
      <c r="Y245" s="207"/>
    </row>
    <row r="246" spans="1:25" ht="12.75" customHeight="1" x14ac:dyDescent="0.25">
      <c r="A246" s="99">
        <v>66900</v>
      </c>
      <c r="B246" s="212" t="s">
        <v>251</v>
      </c>
      <c r="C246" s="20"/>
      <c r="D246" s="21" t="str">
        <f t="shared" si="186"/>
        <v/>
      </c>
      <c r="E246" s="21" t="str">
        <f t="shared" si="181"/>
        <v/>
      </c>
      <c r="F246" s="21" t="str">
        <f t="shared" si="182"/>
        <v/>
      </c>
      <c r="G246" s="21" t="str">
        <f t="shared" si="183"/>
        <v/>
      </c>
      <c r="H246" s="21" t="str">
        <f t="shared" si="184"/>
        <v/>
      </c>
      <c r="I246" s="21" t="str">
        <f t="shared" si="185"/>
        <v/>
      </c>
      <c r="J246" s="101"/>
      <c r="K246" s="102">
        <v>69512</v>
      </c>
      <c r="L246" s="102">
        <v>68118</v>
      </c>
      <c r="M246" s="102">
        <f>69589+240</f>
        <v>69829</v>
      </c>
      <c r="N246" s="102">
        <f>70030+240</f>
        <v>70270</v>
      </c>
      <c r="O246" s="102">
        <f>70372+240</f>
        <v>70612</v>
      </c>
      <c r="P246" s="103">
        <v>2.17</v>
      </c>
      <c r="Q246" s="104"/>
      <c r="R246" s="240">
        <v>250</v>
      </c>
      <c r="S246" s="240">
        <v>125</v>
      </c>
      <c r="T246" s="101"/>
      <c r="U246" s="105">
        <v>200</v>
      </c>
      <c r="V246" s="105">
        <v>100</v>
      </c>
      <c r="W246" s="108" t="s">
        <v>252</v>
      </c>
      <c r="X246" s="106"/>
      <c r="Y246" s="207" t="s">
        <v>253</v>
      </c>
    </row>
    <row r="247" spans="1:25" ht="12.75" customHeight="1" x14ac:dyDescent="0.25">
      <c r="A247" s="99">
        <v>70900</v>
      </c>
      <c r="B247" s="212" t="s">
        <v>296</v>
      </c>
      <c r="C247" s="20"/>
      <c r="D247" s="21" t="str">
        <f t="shared" si="186"/>
        <v/>
      </c>
      <c r="E247" s="21" t="str">
        <f t="shared" si="181"/>
        <v/>
      </c>
      <c r="F247" s="21" t="str">
        <f t="shared" si="182"/>
        <v/>
      </c>
      <c r="G247" s="21" t="str">
        <f t="shared" si="183"/>
        <v/>
      </c>
      <c r="H247" s="21" t="str">
        <f t="shared" si="184"/>
        <v/>
      </c>
      <c r="I247" s="21" t="str">
        <f t="shared" si="185"/>
        <v/>
      </c>
      <c r="J247" s="101"/>
      <c r="K247" s="102">
        <v>75212</v>
      </c>
      <c r="L247" s="102">
        <f>73818</f>
        <v>73818</v>
      </c>
      <c r="M247" s="102">
        <f>74282+1200</f>
        <v>75482</v>
      </c>
      <c r="N247" s="102">
        <f>74747+1200</f>
        <v>75947</v>
      </c>
      <c r="O247" s="102">
        <f>75212+1100</f>
        <v>76312</v>
      </c>
      <c r="P247" s="103">
        <v>2.17</v>
      </c>
      <c r="Q247" s="104"/>
      <c r="R247" s="240">
        <v>250</v>
      </c>
      <c r="S247" s="240">
        <v>125</v>
      </c>
      <c r="T247" s="101"/>
      <c r="U247" s="105">
        <v>200</v>
      </c>
      <c r="V247" s="105">
        <v>100</v>
      </c>
      <c r="W247" s="108" t="s">
        <v>422</v>
      </c>
      <c r="X247" s="106" t="s">
        <v>423</v>
      </c>
    </row>
    <row r="248" spans="1:25" ht="12.75" customHeight="1" x14ac:dyDescent="0.25">
      <c r="A248" s="99">
        <v>70900</v>
      </c>
      <c r="B248" s="212" t="s">
        <v>338</v>
      </c>
      <c r="C248" s="20"/>
      <c r="D248" s="21" t="str">
        <f t="shared" si="186"/>
        <v/>
      </c>
      <c r="E248" s="21" t="str">
        <f t="shared" si="181"/>
        <v/>
      </c>
      <c r="F248" s="21" t="str">
        <f t="shared" si="182"/>
        <v/>
      </c>
      <c r="G248" s="21" t="str">
        <f t="shared" si="183"/>
        <v/>
      </c>
      <c r="H248" s="21" t="str">
        <f t="shared" si="184"/>
        <v/>
      </c>
      <c r="I248" s="21" t="str">
        <f t="shared" si="185"/>
        <v/>
      </c>
      <c r="J248" s="101"/>
      <c r="K248" s="102">
        <v>75212</v>
      </c>
      <c r="L248" s="102">
        <f>73818</f>
        <v>73818</v>
      </c>
      <c r="M248" s="102">
        <f>74282+1200</f>
        <v>75482</v>
      </c>
      <c r="N248" s="102">
        <f>74747+1200</f>
        <v>75947</v>
      </c>
      <c r="O248" s="102">
        <f>75212+1100</f>
        <v>76312</v>
      </c>
      <c r="P248" s="103">
        <v>2.17</v>
      </c>
      <c r="Q248" s="104"/>
      <c r="R248" s="240">
        <v>250</v>
      </c>
      <c r="S248" s="240">
        <v>125</v>
      </c>
      <c r="T248" s="101"/>
      <c r="U248" s="105">
        <v>200</v>
      </c>
      <c r="V248" s="105">
        <v>100</v>
      </c>
      <c r="W248" s="108" t="s">
        <v>422</v>
      </c>
      <c r="X248" s="106" t="s">
        <v>423</v>
      </c>
      <c r="Y248" s="221"/>
    </row>
    <row r="249" spans="1:25" ht="12.75" customHeight="1" x14ac:dyDescent="0.25">
      <c r="A249" s="99">
        <v>74400</v>
      </c>
      <c r="B249" s="212" t="s">
        <v>518</v>
      </c>
      <c r="C249" s="20"/>
      <c r="D249" s="21" t="str">
        <f t="shared" si="186"/>
        <v/>
      </c>
      <c r="E249" s="21" t="str">
        <f t="shared" si="181"/>
        <v/>
      </c>
      <c r="F249" s="21" t="str">
        <f t="shared" si="182"/>
        <v/>
      </c>
      <c r="G249" s="21" t="str">
        <f t="shared" si="183"/>
        <v/>
      </c>
      <c r="H249" s="21" t="str">
        <f t="shared" si="184"/>
        <v/>
      </c>
      <c r="I249" s="21" t="str">
        <f t="shared" si="185"/>
        <v/>
      </c>
      <c r="J249" s="101"/>
      <c r="K249" s="102">
        <v>79163</v>
      </c>
      <c r="L249" s="102">
        <v>77655</v>
      </c>
      <c r="M249" s="102">
        <f>78157+1200</f>
        <v>79357</v>
      </c>
      <c r="N249" s="102">
        <f>78660+1200</f>
        <v>79860</v>
      </c>
      <c r="O249" s="102">
        <f>79163+1100</f>
        <v>80263</v>
      </c>
      <c r="P249" s="103">
        <v>2.17</v>
      </c>
      <c r="Q249" s="104"/>
      <c r="R249" s="240">
        <v>250</v>
      </c>
      <c r="S249" s="240">
        <v>125</v>
      </c>
      <c r="T249" s="101"/>
      <c r="U249" s="105">
        <v>200</v>
      </c>
      <c r="V249" s="105">
        <v>100</v>
      </c>
      <c r="W249" s="108" t="s">
        <v>514</v>
      </c>
      <c r="X249" s="106" t="s">
        <v>519</v>
      </c>
      <c r="Y249" s="221"/>
    </row>
    <row r="250" spans="1:25" ht="12.75" customHeight="1" x14ac:dyDescent="0.25">
      <c r="A250" s="99">
        <v>72400</v>
      </c>
      <c r="B250" s="212" t="s">
        <v>513</v>
      </c>
      <c r="C250" s="20"/>
      <c r="D250" s="21" t="str">
        <f t="shared" si="186"/>
        <v/>
      </c>
      <c r="E250" s="21" t="str">
        <f t="shared" si="181"/>
        <v/>
      </c>
      <c r="F250" s="21" t="str">
        <f t="shared" si="182"/>
        <v/>
      </c>
      <c r="G250" s="21" t="str">
        <f t="shared" si="183"/>
        <v/>
      </c>
      <c r="H250" s="21" t="str">
        <f t="shared" si="184"/>
        <v/>
      </c>
      <c r="I250" s="21" t="str">
        <f t="shared" si="185"/>
        <v/>
      </c>
      <c r="J250" s="101"/>
      <c r="K250" s="102">
        <v>77231</v>
      </c>
      <c r="L250" s="102">
        <f>75760</f>
        <v>75760</v>
      </c>
      <c r="M250" s="102">
        <f>76250+1200</f>
        <v>77450</v>
      </c>
      <c r="N250" s="102">
        <f>76740+1200</f>
        <v>77940</v>
      </c>
      <c r="O250" s="102">
        <f>77231+1100</f>
        <v>78331</v>
      </c>
      <c r="P250" s="103">
        <v>2.17</v>
      </c>
      <c r="Q250" s="104"/>
      <c r="R250" s="240">
        <v>250</v>
      </c>
      <c r="S250" s="240">
        <v>125</v>
      </c>
      <c r="T250" s="101"/>
      <c r="U250" s="105">
        <v>200</v>
      </c>
      <c r="V250" s="105">
        <v>100</v>
      </c>
      <c r="W250" s="108" t="s">
        <v>514</v>
      </c>
      <c r="X250" s="106" t="s">
        <v>515</v>
      </c>
      <c r="Y250" s="221"/>
    </row>
    <row r="251" spans="1:25" ht="12.75" customHeight="1" x14ac:dyDescent="0.25">
      <c r="A251" s="99">
        <v>71400</v>
      </c>
      <c r="B251" s="212" t="s">
        <v>516</v>
      </c>
      <c r="C251" s="20"/>
      <c r="D251" s="21" t="str">
        <f t="shared" si="186"/>
        <v/>
      </c>
      <c r="E251" s="21" t="str">
        <f t="shared" si="181"/>
        <v/>
      </c>
      <c r="F251" s="21" t="str">
        <f t="shared" si="182"/>
        <v/>
      </c>
      <c r="G251" s="21" t="str">
        <f t="shared" si="183"/>
        <v/>
      </c>
      <c r="H251" s="21" t="str">
        <f t="shared" si="184"/>
        <v/>
      </c>
      <c r="I251" s="21" t="str">
        <f t="shared" si="185"/>
        <v/>
      </c>
      <c r="J251" s="101"/>
      <c r="K251" s="102">
        <v>76265</v>
      </c>
      <c r="L251" s="102">
        <v>74813</v>
      </c>
      <c r="M251" s="102">
        <f>75297+1200</f>
        <v>76497</v>
      </c>
      <c r="N251" s="102">
        <f>75781+1200</f>
        <v>76981</v>
      </c>
      <c r="O251" s="102">
        <f>76265+1100</f>
        <v>77365</v>
      </c>
      <c r="P251" s="103">
        <v>2.17</v>
      </c>
      <c r="Q251" s="104"/>
      <c r="R251" s="240">
        <v>250</v>
      </c>
      <c r="S251" s="240">
        <v>125</v>
      </c>
      <c r="T251" s="101"/>
      <c r="U251" s="105">
        <v>200</v>
      </c>
      <c r="V251" s="105">
        <v>100</v>
      </c>
      <c r="W251" s="108" t="s">
        <v>514</v>
      </c>
      <c r="X251" s="106" t="s">
        <v>517</v>
      </c>
      <c r="Y251" s="221"/>
    </row>
    <row r="252" spans="1:25" ht="12.75" customHeight="1" x14ac:dyDescent="0.25">
      <c r="A252" s="99">
        <v>73400</v>
      </c>
      <c r="B252" s="212" t="s">
        <v>579</v>
      </c>
      <c r="C252" s="20"/>
      <c r="D252" s="21" t="str">
        <f t="shared" ref="D252" si="217">IF(C252&gt;=1,(K252-C252)*(1+P252*$D$4/100)/$D$4+Q252+R252,"")</f>
        <v/>
      </c>
      <c r="E252" s="21" t="str">
        <f t="shared" ref="E252" si="218">IF(C252&gt;=1,(K252-C252)*(1+P252*$E$4/100)/$E$4+Q252+S252,"")</f>
        <v/>
      </c>
      <c r="F252" s="21" t="str">
        <f t="shared" ref="F252" si="219">IF(C252&gt;=1,(K252-C252)*(1+$P252*$F$4/100)/$F$4+Q252+S252, "")</f>
        <v/>
      </c>
      <c r="G252" s="21" t="str">
        <f t="shared" ref="G252" si="220">IF(C252&gt;=1, (K252-C252)*(1+$P252*$G$4/100)/$G$4+Q252+S252,"")</f>
        <v/>
      </c>
      <c r="H252" s="21" t="str">
        <f t="shared" ref="H252" si="221">IF(C252&gt;=1, (K252-C252)*(1+$P252*$H$4/100)/$H$4+Q252+S252, "")</f>
        <v/>
      </c>
      <c r="I252" s="21" t="str">
        <f t="shared" ref="I252" si="222">IF(C252&gt;=1, (K252-C252)*(1+$P252*$I$4/100)/$I$4+Q252+S252, "")</f>
        <v/>
      </c>
      <c r="J252" s="101"/>
      <c r="K252" s="102">
        <f>78581</f>
        <v>78581</v>
      </c>
      <c r="L252" s="102">
        <f>77110</f>
        <v>77110</v>
      </c>
      <c r="M252" s="102">
        <f>77600+1200</f>
        <v>78800</v>
      </c>
      <c r="N252" s="102">
        <f>78090+1200</f>
        <v>79290</v>
      </c>
      <c r="O252" s="102">
        <f>78581+1100</f>
        <v>79681</v>
      </c>
      <c r="P252" s="103">
        <v>2.17</v>
      </c>
      <c r="Q252" s="104">
        <v>200</v>
      </c>
      <c r="R252" s="240">
        <v>250</v>
      </c>
      <c r="S252" s="240">
        <v>125</v>
      </c>
      <c r="T252" s="101"/>
      <c r="U252" s="105">
        <v>200</v>
      </c>
      <c r="V252" s="105">
        <v>100</v>
      </c>
      <c r="W252" s="108" t="s">
        <v>697</v>
      </c>
      <c r="X252" s="106" t="s">
        <v>698</v>
      </c>
      <c r="Y252" s="221"/>
    </row>
    <row r="253" spans="1:25" ht="12.75" customHeight="1" x14ac:dyDescent="0.25">
      <c r="A253" s="99">
        <v>71900</v>
      </c>
      <c r="B253" s="212" t="s">
        <v>580</v>
      </c>
      <c r="C253" s="20"/>
      <c r="D253" s="21" t="str">
        <f t="shared" ref="D253:D254" si="223">IF(C253&gt;=1,(K253-C253)*(1+P253*$D$4/100)/$D$4+Q253+R253,"")</f>
        <v/>
      </c>
      <c r="E253" s="21" t="str">
        <f t="shared" ref="E253:E254" si="224">IF(C253&gt;=1,(K253-C253)*(1+P253*$E$4/100)/$E$4+Q253+S253,"")</f>
        <v/>
      </c>
      <c r="F253" s="21" t="str">
        <f t="shared" ref="F253:F254" si="225">IF(C253&gt;=1,(K253-C253)*(1+$P253*$F$4/100)/$F$4+Q253+S253, "")</f>
        <v/>
      </c>
      <c r="G253" s="21" t="str">
        <f t="shared" ref="G253:G254" si="226">IF(C253&gt;=1, (K253-C253)*(1+$P253*$G$4/100)/$G$4+Q253+S253,"")</f>
        <v/>
      </c>
      <c r="H253" s="21" t="str">
        <f t="shared" ref="H253:H254" si="227">IF(C253&gt;=1, (K253-C253)*(1+$P253*$H$4/100)/$H$4+Q253+S253, "")</f>
        <v/>
      </c>
      <c r="I253" s="21" t="str">
        <f t="shared" ref="I253:I254" si="228">IF(C253&gt;=1, (K253-C253)*(1+$P253*$I$4/100)/$I$4+Q253+S253, "")</f>
        <v/>
      </c>
      <c r="J253" s="101"/>
      <c r="K253" s="102">
        <f>77115</f>
        <v>77115</v>
      </c>
      <c r="L253" s="102">
        <f>75663</f>
        <v>75663</v>
      </c>
      <c r="M253" s="102">
        <f>76147+1200</f>
        <v>77347</v>
      </c>
      <c r="N253" s="102">
        <f>76631+1200</f>
        <v>77831</v>
      </c>
      <c r="O253" s="102">
        <f>77115+1100</f>
        <v>78215</v>
      </c>
      <c r="P253" s="103">
        <v>2.17</v>
      </c>
      <c r="Q253" s="104">
        <v>200</v>
      </c>
      <c r="R253" s="240">
        <v>250</v>
      </c>
      <c r="S253" s="240">
        <v>125</v>
      </c>
      <c r="T253" s="101"/>
      <c r="U253" s="105">
        <v>200</v>
      </c>
      <c r="V253" s="105">
        <v>100</v>
      </c>
      <c r="W253" s="108" t="s">
        <v>702</v>
      </c>
      <c r="X253" s="106" t="s">
        <v>703</v>
      </c>
      <c r="Y253" s="221"/>
    </row>
    <row r="254" spans="1:25" ht="12.75" customHeight="1" x14ac:dyDescent="0.25">
      <c r="A254" s="99">
        <v>74400</v>
      </c>
      <c r="B254" s="212" t="s">
        <v>708</v>
      </c>
      <c r="C254" s="20">
        <v>20000</v>
      </c>
      <c r="D254" s="21">
        <f t="shared" si="223"/>
        <v>11673.074366666666</v>
      </c>
      <c r="E254" s="21">
        <f t="shared" si="224"/>
        <v>6582.9910333333328</v>
      </c>
      <c r="F254" s="21">
        <f t="shared" si="225"/>
        <v>4927.9632555555554</v>
      </c>
      <c r="G254" s="21">
        <f t="shared" si="226"/>
        <v>4100.4493666666658</v>
      </c>
      <c r="H254" s="21">
        <f t="shared" si="227"/>
        <v>3603.9410333333331</v>
      </c>
      <c r="I254" s="21">
        <f t="shared" si="228"/>
        <v>3272.935477777778</v>
      </c>
      <c r="J254" s="101"/>
      <c r="K254" s="102">
        <f>79581</f>
        <v>79581</v>
      </c>
      <c r="L254" s="102">
        <f>78402</f>
        <v>78402</v>
      </c>
      <c r="M254" s="102">
        <f>78795+1200</f>
        <v>79995</v>
      </c>
      <c r="N254" s="102">
        <f>79188+1200</f>
        <v>80388</v>
      </c>
      <c r="O254" s="102">
        <f>79581+1100</f>
        <v>80681</v>
      </c>
      <c r="P254" s="103">
        <v>2.17</v>
      </c>
      <c r="Q254" s="104">
        <v>200</v>
      </c>
      <c r="R254" s="240">
        <v>250</v>
      </c>
      <c r="S254" s="240">
        <v>125</v>
      </c>
      <c r="T254" s="101"/>
      <c r="U254" s="105">
        <v>200</v>
      </c>
      <c r="V254" s="105">
        <v>100</v>
      </c>
      <c r="W254" s="108" t="s">
        <v>709</v>
      </c>
      <c r="X254" s="106" t="s">
        <v>710</v>
      </c>
      <c r="Y254" s="221"/>
    </row>
    <row r="255" spans="1:25" ht="12.75" customHeight="1" x14ac:dyDescent="0.25">
      <c r="A255" s="99">
        <v>72400</v>
      </c>
      <c r="B255" s="212" t="s">
        <v>711</v>
      </c>
      <c r="C255" s="20">
        <v>20000</v>
      </c>
      <c r="D255" s="21">
        <f t="shared" ref="D255" si="229">IF(C255&gt;=1,(K255-C255)*(1+P255*$D$4/100)/$D$4+Q255+R255,"")</f>
        <v>11312.540566666665</v>
      </c>
      <c r="E255" s="21">
        <f t="shared" ref="E255" si="230">IF(C255&gt;=1,(K255-C255)*(1+P255*$E$4/100)/$E$4+Q255+S255,"")</f>
        <v>6381.9572333333335</v>
      </c>
      <c r="F255" s="21">
        <f t="shared" ref="F255" si="231">IF(C255&gt;=1,(K255-C255)*(1+$P255*$F$4/100)/$F$4+Q255+S255, "")</f>
        <v>4780.0961222222222</v>
      </c>
      <c r="G255" s="21">
        <f t="shared" ref="G255" si="232">IF(C255&gt;=1, (K255-C255)*(1+$P255*$G$4/100)/$G$4+Q255+S255,"")</f>
        <v>3979.1655666666666</v>
      </c>
      <c r="H255" s="21">
        <f t="shared" ref="H255" si="233">IF(C255&gt;=1, (K255-C255)*(1+$P255*$H$4/100)/$H$4+Q255+S255, "")</f>
        <v>3498.6072333333332</v>
      </c>
      <c r="I255" s="21">
        <f t="shared" ref="I255" si="234">IF(C255&gt;=1, (K255-C255)*(1+$P255*$I$4/100)/$I$4+Q255+S255, "")</f>
        <v>3178.2350111111114</v>
      </c>
      <c r="J255" s="101"/>
      <c r="K255" s="102">
        <f>77667</f>
        <v>77667</v>
      </c>
      <c r="L255" s="102">
        <f>76535</f>
        <v>76535</v>
      </c>
      <c r="M255" s="102">
        <f>76912+1200</f>
        <v>78112</v>
      </c>
      <c r="N255" s="102">
        <f>77290+1200</f>
        <v>78490</v>
      </c>
      <c r="O255" s="102">
        <f>77667+1100</f>
        <v>78767</v>
      </c>
      <c r="P255" s="103">
        <v>2.17</v>
      </c>
      <c r="Q255" s="104">
        <v>200</v>
      </c>
      <c r="R255" s="240">
        <v>250</v>
      </c>
      <c r="S255" s="240">
        <v>125</v>
      </c>
      <c r="T255" s="101"/>
      <c r="U255" s="105">
        <v>200</v>
      </c>
      <c r="V255" s="105">
        <v>100</v>
      </c>
      <c r="W255" s="108" t="s">
        <v>709</v>
      </c>
      <c r="X255" s="106" t="s">
        <v>712</v>
      </c>
      <c r="Y255" s="221"/>
    </row>
    <row r="256" spans="1:25" x14ac:dyDescent="0.25">
      <c r="A256" s="99">
        <v>98800</v>
      </c>
      <c r="B256" s="110" t="s">
        <v>151</v>
      </c>
      <c r="C256" s="20"/>
      <c r="D256" s="21" t="str">
        <f t="shared" si="186"/>
        <v/>
      </c>
      <c r="E256" s="21" t="str">
        <f t="shared" si="181"/>
        <v/>
      </c>
      <c r="F256" s="21" t="str">
        <f t="shared" si="182"/>
        <v/>
      </c>
      <c r="G256" s="21" t="str">
        <f t="shared" si="183"/>
        <v/>
      </c>
      <c r="H256" s="21" t="str">
        <f t="shared" si="184"/>
        <v/>
      </c>
      <c r="I256" s="21" t="str">
        <f t="shared" si="185"/>
        <v/>
      </c>
      <c r="J256" s="101"/>
      <c r="K256" s="102">
        <v>101064</v>
      </c>
      <c r="L256" s="102">
        <v>99116</v>
      </c>
      <c r="M256" s="102">
        <f>99765+1200</f>
        <v>100965</v>
      </c>
      <c r="N256" s="102">
        <f>100414+1200</f>
        <v>101614</v>
      </c>
      <c r="O256" s="102">
        <f>101064+1100</f>
        <v>102164</v>
      </c>
      <c r="P256" s="103">
        <v>2.17</v>
      </c>
      <c r="Q256" s="104">
        <v>200</v>
      </c>
      <c r="R256" s="240">
        <v>250</v>
      </c>
      <c r="S256" s="240">
        <v>125</v>
      </c>
      <c r="T256" s="101"/>
      <c r="U256" s="105">
        <v>200</v>
      </c>
      <c r="V256" s="105">
        <v>100</v>
      </c>
      <c r="W256" s="106">
        <v>43335</v>
      </c>
      <c r="X256" s="106"/>
    </row>
    <row r="257" spans="1:24" x14ac:dyDescent="0.25">
      <c r="A257" s="99">
        <v>173900</v>
      </c>
      <c r="B257" s="211" t="s">
        <v>368</v>
      </c>
      <c r="C257" s="20"/>
      <c r="D257" s="21" t="str">
        <f t="shared" si="186"/>
        <v/>
      </c>
      <c r="E257" s="21" t="str">
        <f t="shared" si="181"/>
        <v/>
      </c>
      <c r="F257" s="21" t="str">
        <f t="shared" si="182"/>
        <v/>
      </c>
      <c r="G257" s="21" t="str">
        <f t="shared" si="183"/>
        <v/>
      </c>
      <c r="H257" s="21" t="str">
        <f t="shared" si="184"/>
        <v/>
      </c>
      <c r="I257" s="21" t="str">
        <f t="shared" si="185"/>
        <v/>
      </c>
      <c r="J257" s="101"/>
      <c r="K257" s="102">
        <v>178719</v>
      </c>
      <c r="L257" s="102">
        <v>175180</v>
      </c>
      <c r="M257" s="102">
        <f>176359+1200</f>
        <v>177559</v>
      </c>
      <c r="N257" s="102">
        <f>177539+1200</f>
        <v>178739</v>
      </c>
      <c r="O257" s="102">
        <f>178719+1100</f>
        <v>179819</v>
      </c>
      <c r="P257" s="103">
        <v>2.17</v>
      </c>
      <c r="Q257" s="104">
        <v>200</v>
      </c>
      <c r="R257" s="240">
        <v>250</v>
      </c>
      <c r="S257" s="240">
        <v>125</v>
      </c>
      <c r="T257" s="101"/>
      <c r="U257" s="105">
        <v>350</v>
      </c>
      <c r="V257" s="105">
        <v>100</v>
      </c>
      <c r="W257" s="108" t="s">
        <v>427</v>
      </c>
      <c r="X257" s="106" t="s">
        <v>433</v>
      </c>
    </row>
    <row r="258" spans="1:24" x14ac:dyDescent="0.25">
      <c r="A258" s="99">
        <v>150000</v>
      </c>
      <c r="B258" s="100" t="s">
        <v>130</v>
      </c>
      <c r="C258" s="20"/>
      <c r="D258" s="21" t="str">
        <f t="shared" si="186"/>
        <v/>
      </c>
      <c r="E258" s="21" t="str">
        <f t="shared" si="181"/>
        <v/>
      </c>
      <c r="F258" s="21" t="str">
        <f t="shared" si="182"/>
        <v/>
      </c>
      <c r="G258" s="21" t="str">
        <f t="shared" si="183"/>
        <v/>
      </c>
      <c r="H258" s="21" t="str">
        <f t="shared" si="184"/>
        <v/>
      </c>
      <c r="I258" s="21" t="str">
        <f t="shared" si="185"/>
        <v/>
      </c>
      <c r="J258" s="101"/>
      <c r="K258" s="102">
        <f>154382</f>
        <v>154382</v>
      </c>
      <c r="L258" s="102">
        <v>150000</v>
      </c>
      <c r="M258" s="102">
        <f>151460+1200</f>
        <v>152660</v>
      </c>
      <c r="N258" s="102">
        <f>152921+1200</f>
        <v>154121</v>
      </c>
      <c r="O258" s="102">
        <f>154382+1100</f>
        <v>155482</v>
      </c>
      <c r="P258" s="103">
        <v>2.17</v>
      </c>
      <c r="Q258" s="104">
        <v>200</v>
      </c>
      <c r="R258" s="240">
        <v>250</v>
      </c>
      <c r="S258" s="240">
        <v>125</v>
      </c>
      <c r="T258" s="101"/>
      <c r="U258" s="105">
        <v>200</v>
      </c>
      <c r="V258" s="105">
        <v>100</v>
      </c>
      <c r="W258" s="106" t="s">
        <v>162</v>
      </c>
      <c r="X258" s="106"/>
    </row>
    <row r="259" spans="1:24" x14ac:dyDescent="0.25">
      <c r="A259" s="99">
        <v>155000</v>
      </c>
      <c r="B259" s="100" t="s">
        <v>164</v>
      </c>
      <c r="C259" s="20"/>
      <c r="D259" s="21" t="str">
        <f t="shared" si="186"/>
        <v/>
      </c>
      <c r="E259" s="21" t="str">
        <f t="shared" si="181"/>
        <v/>
      </c>
      <c r="F259" s="21" t="str">
        <f t="shared" si="182"/>
        <v/>
      </c>
      <c r="G259" s="21" t="str">
        <f t="shared" si="183"/>
        <v/>
      </c>
      <c r="H259" s="21" t="str">
        <f t="shared" si="184"/>
        <v/>
      </c>
      <c r="I259" s="21" t="str">
        <f t="shared" si="185"/>
        <v/>
      </c>
      <c r="J259" s="101"/>
      <c r="K259" s="102">
        <f>159350</f>
        <v>159350</v>
      </c>
      <c r="L259" s="102">
        <f>154973</f>
        <v>154973</v>
      </c>
      <c r="M259" s="102">
        <f>156432+1200</f>
        <v>157632</v>
      </c>
      <c r="N259" s="102">
        <f>157891+1200</f>
        <v>159091</v>
      </c>
      <c r="O259" s="102">
        <f>159350+1100</f>
        <v>160450</v>
      </c>
      <c r="P259" s="103">
        <v>2.17</v>
      </c>
      <c r="Q259" s="104">
        <v>200</v>
      </c>
      <c r="R259" s="240">
        <v>250</v>
      </c>
      <c r="S259" s="240">
        <v>125</v>
      </c>
      <c r="T259" s="101"/>
      <c r="U259" s="105">
        <v>200</v>
      </c>
      <c r="V259" s="105">
        <v>100</v>
      </c>
      <c r="W259" s="106" t="s">
        <v>162</v>
      </c>
      <c r="X259" s="106"/>
    </row>
    <row r="260" spans="1:24" x14ac:dyDescent="0.25">
      <c r="A260" s="99">
        <v>165000</v>
      </c>
      <c r="B260" s="100" t="s">
        <v>220</v>
      </c>
      <c r="C260" s="20"/>
      <c r="D260" s="21" t="str">
        <f t="shared" si="186"/>
        <v/>
      </c>
      <c r="E260" s="21" t="str">
        <f t="shared" si="181"/>
        <v/>
      </c>
      <c r="F260" s="21" t="str">
        <f t="shared" si="182"/>
        <v/>
      </c>
      <c r="G260" s="21" t="str">
        <f t="shared" si="183"/>
        <v/>
      </c>
      <c r="H260" s="21" t="str">
        <f t="shared" si="184"/>
        <v/>
      </c>
      <c r="I260" s="21" t="str">
        <f t="shared" si="185"/>
        <v/>
      </c>
      <c r="J260" s="101"/>
      <c r="K260" s="102">
        <v>166456</v>
      </c>
      <c r="L260" s="102">
        <v>165200</v>
      </c>
      <c r="M260" s="102">
        <f>165618+1200</f>
        <v>166818</v>
      </c>
      <c r="N260" s="102">
        <f>166037+1200</f>
        <v>167237</v>
      </c>
      <c r="O260" s="102">
        <f>166456+1100</f>
        <v>167556</v>
      </c>
      <c r="P260" s="103">
        <v>2.17</v>
      </c>
      <c r="Q260" s="104">
        <v>200</v>
      </c>
      <c r="R260" s="240">
        <v>250</v>
      </c>
      <c r="S260" s="240">
        <v>125</v>
      </c>
      <c r="T260" s="101"/>
      <c r="U260" s="105">
        <v>350</v>
      </c>
      <c r="V260" s="105">
        <v>100</v>
      </c>
      <c r="W260" s="108" t="s">
        <v>243</v>
      </c>
      <c r="X260" s="106" t="s">
        <v>246</v>
      </c>
    </row>
    <row r="261" spans="1:24" x14ac:dyDescent="0.25">
      <c r="A261" s="99">
        <v>152900</v>
      </c>
      <c r="B261" s="201" t="s">
        <v>217</v>
      </c>
      <c r="C261" s="20"/>
      <c r="D261" s="21" t="str">
        <f t="shared" si="186"/>
        <v/>
      </c>
      <c r="E261" s="21" t="str">
        <f t="shared" si="181"/>
        <v/>
      </c>
      <c r="F261" s="21" t="str">
        <f t="shared" si="182"/>
        <v/>
      </c>
      <c r="G261" s="21" t="str">
        <f t="shared" si="183"/>
        <v/>
      </c>
      <c r="H261" s="21" t="str">
        <f t="shared" si="184"/>
        <v/>
      </c>
      <c r="I261" s="21" t="str">
        <f t="shared" si="185"/>
        <v/>
      </c>
      <c r="J261" s="101"/>
      <c r="K261" s="102">
        <v>157264</v>
      </c>
      <c r="L261" s="102">
        <v>152904</v>
      </c>
      <c r="M261" s="102">
        <f>154357+1200</f>
        <v>155557</v>
      </c>
      <c r="N261" s="102">
        <f>155810+1200</f>
        <v>157010</v>
      </c>
      <c r="O261" s="102">
        <f>157264+1100</f>
        <v>158364</v>
      </c>
      <c r="P261" s="103">
        <v>2.17</v>
      </c>
      <c r="Q261" s="104">
        <v>200</v>
      </c>
      <c r="R261" s="240">
        <v>250</v>
      </c>
      <c r="S261" s="240">
        <v>125</v>
      </c>
      <c r="T261" s="101"/>
      <c r="U261" s="105">
        <v>200</v>
      </c>
      <c r="V261" s="105">
        <v>50</v>
      </c>
      <c r="W261" s="108" t="s">
        <v>201</v>
      </c>
      <c r="X261" s="106"/>
    </row>
    <row r="262" spans="1:24" x14ac:dyDescent="0.25">
      <c r="A262" s="99">
        <v>167900</v>
      </c>
      <c r="B262" s="201" t="s">
        <v>324</v>
      </c>
      <c r="C262" s="20"/>
      <c r="D262" s="21" t="str">
        <f t="shared" si="186"/>
        <v/>
      </c>
      <c r="E262" s="21" t="str">
        <f t="shared" si="181"/>
        <v/>
      </c>
      <c r="F262" s="21" t="str">
        <f t="shared" si="182"/>
        <v/>
      </c>
      <c r="G262" s="21" t="str">
        <f t="shared" si="183"/>
        <v/>
      </c>
      <c r="H262" s="21" t="str">
        <f t="shared" si="184"/>
        <v/>
      </c>
      <c r="I262" s="21" t="str">
        <f t="shared" si="185"/>
        <v/>
      </c>
      <c r="J262" s="101"/>
      <c r="K262" s="102">
        <v>172719</v>
      </c>
      <c r="L262" s="102">
        <v>169180</v>
      </c>
      <c r="M262" s="102">
        <f>170359+1200</f>
        <v>171559</v>
      </c>
      <c r="N262" s="102">
        <f>171539+1200</f>
        <v>172739</v>
      </c>
      <c r="O262" s="102">
        <f>172719+1100</f>
        <v>173819</v>
      </c>
      <c r="P262" s="103">
        <v>2.17</v>
      </c>
      <c r="Q262" s="104">
        <v>200</v>
      </c>
      <c r="R262" s="240">
        <v>250</v>
      </c>
      <c r="S262" s="240">
        <v>125</v>
      </c>
      <c r="T262" s="101"/>
      <c r="U262" s="105">
        <v>350</v>
      </c>
      <c r="V262" s="105">
        <v>100</v>
      </c>
      <c r="W262" s="108" t="s">
        <v>427</v>
      </c>
      <c r="X262" s="106" t="s">
        <v>434</v>
      </c>
    </row>
    <row r="263" spans="1:24" x14ac:dyDescent="0.25">
      <c r="A263" s="99">
        <v>183900</v>
      </c>
      <c r="B263" s="201" t="s">
        <v>659</v>
      </c>
      <c r="C263" s="20"/>
      <c r="D263" s="21" t="str">
        <f t="shared" si="186"/>
        <v/>
      </c>
      <c r="E263" s="21" t="str">
        <f>IF(C263&gt;=1,(K263-C263)*(1+P263*$E$4/100)/$E$4+Q263+S263,"")</f>
        <v/>
      </c>
      <c r="F263" s="21" t="str">
        <f t="shared" si="182"/>
        <v/>
      </c>
      <c r="G263" s="21" t="str">
        <f t="shared" si="183"/>
        <v/>
      </c>
      <c r="H263" s="21" t="str">
        <f t="shared" si="184"/>
        <v/>
      </c>
      <c r="I263" s="21" t="str">
        <f t="shared" si="185"/>
        <v/>
      </c>
      <c r="J263" s="101"/>
      <c r="K263" s="102">
        <v>188463</v>
      </c>
      <c r="L263" s="102">
        <v>183900</v>
      </c>
      <c r="M263" s="102">
        <f>185421+1200</f>
        <v>186621</v>
      </c>
      <c r="N263" s="102">
        <f>186942+1200</f>
        <v>188142</v>
      </c>
      <c r="O263" s="102">
        <f>188463+1100</f>
        <v>189563</v>
      </c>
      <c r="P263" s="103">
        <v>2.17</v>
      </c>
      <c r="Q263" s="104">
        <v>200</v>
      </c>
      <c r="R263" s="240">
        <v>250</v>
      </c>
      <c r="S263" s="240">
        <v>125</v>
      </c>
      <c r="T263" s="101"/>
      <c r="U263" s="105">
        <v>350</v>
      </c>
      <c r="V263" s="105">
        <v>100</v>
      </c>
      <c r="W263" s="108" t="s">
        <v>661</v>
      </c>
      <c r="X263" s="106" t="s">
        <v>664</v>
      </c>
    </row>
    <row r="264" spans="1:24" x14ac:dyDescent="0.25">
      <c r="A264" s="99">
        <v>71800</v>
      </c>
      <c r="B264" s="100" t="s">
        <v>159</v>
      </c>
      <c r="C264" s="20"/>
      <c r="D264" s="21" t="str">
        <f t="shared" si="186"/>
        <v/>
      </c>
      <c r="E264" s="21" t="str">
        <f t="shared" ref="E264:E312" si="235">IF(C264&gt;=1,(K264-C264)*(1+P264*$E$4/100)/$E$4+Q264+S264,"")</f>
        <v/>
      </c>
      <c r="F264" s="21" t="str">
        <f t="shared" si="182"/>
        <v/>
      </c>
      <c r="G264" s="21" t="str">
        <f t="shared" si="183"/>
        <v/>
      </c>
      <c r="H264" s="21" t="str">
        <f t="shared" si="184"/>
        <v/>
      </c>
      <c r="I264" s="21" t="str">
        <f t="shared" si="185"/>
        <v/>
      </c>
      <c r="J264" s="101"/>
      <c r="K264" s="102">
        <v>76663</v>
      </c>
      <c r="L264" s="102">
        <v>73533</v>
      </c>
      <c r="M264" s="102">
        <f>74576+1200</f>
        <v>75776</v>
      </c>
      <c r="N264" s="102">
        <f>75619+1200</f>
        <v>76819</v>
      </c>
      <c r="O264" s="102">
        <f>76663+1100</f>
        <v>77763</v>
      </c>
      <c r="P264" s="103">
        <v>3</v>
      </c>
      <c r="Q264" s="104"/>
      <c r="R264" s="240">
        <v>250</v>
      </c>
      <c r="S264" s="240">
        <v>125</v>
      </c>
      <c r="T264" s="101"/>
      <c r="U264" s="105">
        <v>500</v>
      </c>
      <c r="V264" s="105">
        <v>100</v>
      </c>
      <c r="W264" s="106" t="s">
        <v>160</v>
      </c>
      <c r="X264" s="106"/>
    </row>
    <row r="265" spans="1:24" x14ac:dyDescent="0.25">
      <c r="A265" s="99">
        <v>76900</v>
      </c>
      <c r="B265" s="100" t="s">
        <v>605</v>
      </c>
      <c r="C265" s="20"/>
      <c r="D265" s="21" t="str">
        <f t="shared" si="186"/>
        <v/>
      </c>
      <c r="E265" s="21" t="str">
        <f t="shared" si="235"/>
        <v/>
      </c>
      <c r="F265" s="21" t="str">
        <f t="shared" si="182"/>
        <v/>
      </c>
      <c r="G265" s="21" t="str">
        <f t="shared" si="183"/>
        <v/>
      </c>
      <c r="H265" s="21" t="str">
        <f t="shared" si="184"/>
        <v/>
      </c>
      <c r="I265" s="21" t="str">
        <f t="shared" si="185"/>
        <v/>
      </c>
      <c r="J265" s="101"/>
      <c r="K265" s="102">
        <v>83963</v>
      </c>
      <c r="L265" s="102">
        <v>80833</v>
      </c>
      <c r="M265" s="102">
        <f>81876+1200</f>
        <v>83076</v>
      </c>
      <c r="N265" s="102">
        <f>82919+1200</f>
        <v>84119</v>
      </c>
      <c r="O265" s="102">
        <f>83963+1100</f>
        <v>85063</v>
      </c>
      <c r="P265" s="103">
        <v>3</v>
      </c>
      <c r="Q265" s="104"/>
      <c r="R265" s="240">
        <v>250</v>
      </c>
      <c r="S265" s="240">
        <v>125</v>
      </c>
      <c r="T265" s="101"/>
      <c r="U265" s="105">
        <v>500</v>
      </c>
      <c r="V265" s="105">
        <v>100</v>
      </c>
      <c r="W265" s="108" t="s">
        <v>474</v>
      </c>
      <c r="X265" s="108" t="s">
        <v>473</v>
      </c>
    </row>
    <row r="266" spans="1:24" x14ac:dyDescent="0.25">
      <c r="A266" s="99">
        <v>70400</v>
      </c>
      <c r="B266" s="112" t="s">
        <v>216</v>
      </c>
      <c r="C266" s="20"/>
      <c r="D266" s="21" t="str">
        <f t="shared" si="186"/>
        <v/>
      </c>
      <c r="E266" s="21" t="str">
        <f t="shared" si="235"/>
        <v/>
      </c>
      <c r="F266" s="21" t="str">
        <f t="shared" si="182"/>
        <v/>
      </c>
      <c r="G266" s="21" t="str">
        <f t="shared" si="183"/>
        <v/>
      </c>
      <c r="H266" s="21" t="str">
        <f t="shared" si="184"/>
        <v/>
      </c>
      <c r="I266" s="21" t="str">
        <f t="shared" si="185"/>
        <v/>
      </c>
      <c r="J266" s="101"/>
      <c r="K266" s="102">
        <f>72726+500</f>
        <v>73226</v>
      </c>
      <c r="L266" s="102">
        <f>71347+500</f>
        <v>71847</v>
      </c>
      <c r="M266" s="102">
        <f>71806+500+1200</f>
        <v>73506</v>
      </c>
      <c r="N266" s="102">
        <f>72766+1200</f>
        <v>73966</v>
      </c>
      <c r="O266" s="102">
        <f>73226+1100</f>
        <v>74326</v>
      </c>
      <c r="P266" s="103">
        <v>2.17</v>
      </c>
      <c r="Q266" s="104">
        <v>200</v>
      </c>
      <c r="R266" s="240">
        <v>250</v>
      </c>
      <c r="S266" s="240">
        <v>125</v>
      </c>
      <c r="T266" s="101"/>
      <c r="U266" s="105">
        <v>200</v>
      </c>
      <c r="V266" s="105">
        <v>100</v>
      </c>
      <c r="W266" s="108" t="s">
        <v>169</v>
      </c>
      <c r="X266" s="108"/>
    </row>
    <row r="267" spans="1:24" x14ac:dyDescent="0.25">
      <c r="A267" s="99">
        <v>75400</v>
      </c>
      <c r="B267" s="249" t="s">
        <v>596</v>
      </c>
      <c r="C267" s="20"/>
      <c r="D267" s="21" t="str">
        <f t="shared" si="186"/>
        <v/>
      </c>
      <c r="E267" s="21" t="str">
        <f t="shared" si="235"/>
        <v/>
      </c>
      <c r="F267" s="21" t="str">
        <f t="shared" si="182"/>
        <v/>
      </c>
      <c r="G267" s="21" t="str">
        <f t="shared" si="183"/>
        <v/>
      </c>
      <c r="H267" s="21" t="str">
        <f t="shared" si="184"/>
        <v/>
      </c>
      <c r="I267" s="21" t="str">
        <f t="shared" si="185"/>
        <v/>
      </c>
      <c r="J267" s="101"/>
      <c r="K267" s="102">
        <f>80226</f>
        <v>80226</v>
      </c>
      <c r="L267" s="102">
        <f>78847</f>
        <v>78847</v>
      </c>
      <c r="M267" s="102">
        <f>79306+1200</f>
        <v>80506</v>
      </c>
      <c r="N267" s="102">
        <f>79766+1200</f>
        <v>80966</v>
      </c>
      <c r="O267" s="102">
        <f>80226+1100</f>
        <v>81326</v>
      </c>
      <c r="P267" s="103">
        <v>2.17</v>
      </c>
      <c r="Q267" s="104">
        <v>200</v>
      </c>
      <c r="R267" s="240">
        <v>250</v>
      </c>
      <c r="S267" s="240">
        <v>125</v>
      </c>
      <c r="T267" s="101"/>
      <c r="U267" s="105">
        <v>200</v>
      </c>
      <c r="V267" s="105">
        <v>100</v>
      </c>
      <c r="W267" s="108" t="s">
        <v>597</v>
      </c>
      <c r="X267" s="108" t="s">
        <v>598</v>
      </c>
    </row>
    <row r="268" spans="1:24" x14ac:dyDescent="0.25">
      <c r="A268" s="99">
        <v>74400</v>
      </c>
      <c r="B268" s="200" t="s">
        <v>355</v>
      </c>
      <c r="C268" s="20"/>
      <c r="D268" s="21" t="str">
        <f t="shared" si="186"/>
        <v/>
      </c>
      <c r="E268" s="21" t="str">
        <f t="shared" si="235"/>
        <v/>
      </c>
      <c r="F268" s="21" t="str">
        <f t="shared" si="182"/>
        <v/>
      </c>
      <c r="G268" s="21" t="str">
        <f t="shared" si="183"/>
        <v/>
      </c>
      <c r="H268" s="21" t="str">
        <f t="shared" si="184"/>
        <v/>
      </c>
      <c r="I268" s="21" t="str">
        <f t="shared" si="185"/>
        <v/>
      </c>
      <c r="J268" s="101"/>
      <c r="K268" s="102">
        <v>79426</v>
      </c>
      <c r="L268" s="102">
        <v>78047</v>
      </c>
      <c r="M268" s="102">
        <f>78506+1200</f>
        <v>79706</v>
      </c>
      <c r="N268" s="102">
        <f>78966+1200</f>
        <v>80166</v>
      </c>
      <c r="O268" s="102">
        <f>79426+1100</f>
        <v>80526</v>
      </c>
      <c r="P268" s="103">
        <v>2.17</v>
      </c>
      <c r="Q268" s="104">
        <v>200</v>
      </c>
      <c r="R268" s="240">
        <v>250</v>
      </c>
      <c r="S268" s="240">
        <v>125</v>
      </c>
      <c r="T268" s="101"/>
      <c r="U268" s="105">
        <v>200</v>
      </c>
      <c r="V268" s="105">
        <v>100</v>
      </c>
      <c r="W268" s="108" t="s">
        <v>427</v>
      </c>
      <c r="X268" s="108" t="s">
        <v>429</v>
      </c>
    </row>
    <row r="269" spans="1:24" x14ac:dyDescent="0.25">
      <c r="A269" s="99">
        <v>73900</v>
      </c>
      <c r="B269" s="100" t="s">
        <v>144</v>
      </c>
      <c r="C269" s="20"/>
      <c r="D269" s="21" t="str">
        <f t="shared" si="186"/>
        <v/>
      </c>
      <c r="E269" s="21" t="str">
        <f t="shared" si="235"/>
        <v/>
      </c>
      <c r="F269" s="21" t="str">
        <f t="shared" si="182"/>
        <v/>
      </c>
      <c r="G269" s="21" t="str">
        <f t="shared" si="183"/>
        <v/>
      </c>
      <c r="H269" s="21" t="str">
        <f t="shared" si="184"/>
        <v/>
      </c>
      <c r="I269" s="21" t="str">
        <f t="shared" si="185"/>
        <v/>
      </c>
      <c r="J269" s="101"/>
      <c r="K269" s="102">
        <v>79201</v>
      </c>
      <c r="L269" s="102">
        <v>77010</v>
      </c>
      <c r="M269" s="102">
        <f>77740+1200</f>
        <v>78940</v>
      </c>
      <c r="N269" s="102">
        <f>78470+1200</f>
        <v>79670</v>
      </c>
      <c r="O269" s="102">
        <f>79201+1100</f>
        <v>80301</v>
      </c>
      <c r="P269" s="103">
        <v>2.17</v>
      </c>
      <c r="Q269" s="104">
        <v>200</v>
      </c>
      <c r="R269" s="240">
        <v>250</v>
      </c>
      <c r="S269" s="240">
        <v>125</v>
      </c>
      <c r="T269" s="101"/>
      <c r="U269" s="105">
        <v>200</v>
      </c>
      <c r="V269" s="105">
        <v>100</v>
      </c>
      <c r="W269" s="106" t="s">
        <v>156</v>
      </c>
      <c r="X269" s="106" t="s">
        <v>343</v>
      </c>
    </row>
    <row r="270" spans="1:24" x14ac:dyDescent="0.25">
      <c r="A270" s="99">
        <v>66500</v>
      </c>
      <c r="B270" s="111" t="s">
        <v>158</v>
      </c>
      <c r="C270" s="20"/>
      <c r="D270" s="21" t="str">
        <f t="shared" si="186"/>
        <v/>
      </c>
      <c r="E270" s="21" t="str">
        <f t="shared" si="235"/>
        <v/>
      </c>
      <c r="F270" s="21" t="str">
        <f t="shared" si="182"/>
        <v/>
      </c>
      <c r="G270" s="21" t="str">
        <f t="shared" si="183"/>
        <v/>
      </c>
      <c r="H270" s="21" t="str">
        <f t="shared" si="184"/>
        <v/>
      </c>
      <c r="I270" s="21" t="str">
        <f t="shared" si="185"/>
        <v/>
      </c>
      <c r="J270" s="101"/>
      <c r="K270" s="102">
        <v>71310</v>
      </c>
      <c r="L270" s="102">
        <v>68180</v>
      </c>
      <c r="M270" s="102">
        <f>69223+1200</f>
        <v>70423</v>
      </c>
      <c r="N270" s="102">
        <f>70266+1200</f>
        <v>71466</v>
      </c>
      <c r="O270" s="102">
        <f>71310+1100</f>
        <v>72410</v>
      </c>
      <c r="P270" s="103">
        <v>3</v>
      </c>
      <c r="Q270" s="104"/>
      <c r="R270" s="240">
        <v>250</v>
      </c>
      <c r="S270" s="240">
        <v>125</v>
      </c>
      <c r="T270" s="101"/>
      <c r="U270" s="105">
        <v>500</v>
      </c>
      <c r="V270" s="105">
        <v>100</v>
      </c>
      <c r="W270" s="106"/>
      <c r="X270" s="106"/>
    </row>
    <row r="271" spans="1:24" x14ac:dyDescent="0.25">
      <c r="A271" s="99">
        <v>71900</v>
      </c>
      <c r="B271" s="111" t="s">
        <v>604</v>
      </c>
      <c r="C271" s="20"/>
      <c r="D271" s="21" t="str">
        <f t="shared" si="186"/>
        <v/>
      </c>
      <c r="E271" s="21" t="str">
        <f t="shared" si="235"/>
        <v/>
      </c>
      <c r="F271" s="21" t="str">
        <f t="shared" si="182"/>
        <v/>
      </c>
      <c r="G271" s="21" t="str">
        <f t="shared" si="183"/>
        <v/>
      </c>
      <c r="H271" s="21" t="str">
        <f t="shared" si="184"/>
        <v/>
      </c>
      <c r="I271" s="21" t="str">
        <f t="shared" si="185"/>
        <v/>
      </c>
      <c r="J271" s="101"/>
      <c r="K271" s="102">
        <v>78410</v>
      </c>
      <c r="L271" s="102">
        <v>75280</v>
      </c>
      <c r="M271" s="102">
        <f>76323+1200</f>
        <v>77523</v>
      </c>
      <c r="N271" s="102">
        <f>77366+1200</f>
        <v>78566</v>
      </c>
      <c r="O271" s="102">
        <f>78410+1100</f>
        <v>79510</v>
      </c>
      <c r="P271" s="103">
        <v>3</v>
      </c>
      <c r="Q271" s="104"/>
      <c r="R271" s="240">
        <v>250</v>
      </c>
      <c r="S271" s="240">
        <v>125</v>
      </c>
      <c r="T271" s="101"/>
      <c r="U271" s="105">
        <v>500</v>
      </c>
      <c r="V271" s="105">
        <v>100</v>
      </c>
      <c r="W271" s="108" t="s">
        <v>472</v>
      </c>
      <c r="X271" s="108" t="s">
        <v>473</v>
      </c>
    </row>
    <row r="272" spans="1:24" x14ac:dyDescent="0.25">
      <c r="A272" s="99">
        <v>62400</v>
      </c>
      <c r="B272" s="111" t="s">
        <v>329</v>
      </c>
      <c r="C272" s="20"/>
      <c r="D272" s="21" t="str">
        <f t="shared" si="186"/>
        <v/>
      </c>
      <c r="E272" s="21" t="str">
        <f t="shared" si="235"/>
        <v/>
      </c>
      <c r="F272" s="21" t="str">
        <f t="shared" si="182"/>
        <v/>
      </c>
      <c r="G272" s="21" t="str">
        <f t="shared" si="183"/>
        <v/>
      </c>
      <c r="H272" s="21" t="str">
        <f t="shared" si="184"/>
        <v/>
      </c>
      <c r="I272" s="21" t="str">
        <f t="shared" si="185"/>
        <v/>
      </c>
      <c r="J272" s="101"/>
      <c r="K272" s="102">
        <f>68187</f>
        <v>68187</v>
      </c>
      <c r="L272" s="102">
        <f>66976</f>
        <v>66976</v>
      </c>
      <c r="M272" s="102">
        <f>67379+1200</f>
        <v>68579</v>
      </c>
      <c r="N272" s="102">
        <f>67783+1200</f>
        <v>68983</v>
      </c>
      <c r="O272" s="102">
        <f>68187+1100</f>
        <v>69287</v>
      </c>
      <c r="P272" s="103">
        <v>2.17</v>
      </c>
      <c r="Q272" s="104">
        <v>200</v>
      </c>
      <c r="R272" s="240">
        <v>250</v>
      </c>
      <c r="S272" s="240">
        <v>125</v>
      </c>
      <c r="T272" s="101"/>
      <c r="U272" s="105">
        <v>250</v>
      </c>
      <c r="V272" s="105">
        <v>50</v>
      </c>
      <c r="W272" s="108" t="s">
        <v>489</v>
      </c>
      <c r="X272" s="108" t="s">
        <v>490</v>
      </c>
    </row>
    <row r="273" spans="1:24" x14ac:dyDescent="0.25">
      <c r="A273" s="99">
        <v>74900</v>
      </c>
      <c r="B273" s="100" t="s">
        <v>325</v>
      </c>
      <c r="C273" s="20"/>
      <c r="D273" s="21" t="str">
        <f t="shared" si="186"/>
        <v/>
      </c>
      <c r="E273" s="21" t="str">
        <f t="shared" si="235"/>
        <v/>
      </c>
      <c r="F273" s="21" t="str">
        <f t="shared" si="182"/>
        <v/>
      </c>
      <c r="G273" s="21" t="str">
        <f t="shared" si="183"/>
        <v/>
      </c>
      <c r="H273" s="21" t="str">
        <f t="shared" si="184"/>
        <v/>
      </c>
      <c r="I273" s="21" t="str">
        <f t="shared" si="185"/>
        <v/>
      </c>
      <c r="J273" s="101"/>
      <c r="K273" s="102">
        <v>81789</v>
      </c>
      <c r="L273" s="102">
        <v>79692</v>
      </c>
      <c r="M273" s="102">
        <f>80391+1200</f>
        <v>81591</v>
      </c>
      <c r="N273" s="102">
        <f>81090+1200</f>
        <v>82290</v>
      </c>
      <c r="O273" s="102">
        <f>81789+1100</f>
        <v>82889</v>
      </c>
      <c r="P273" s="103">
        <v>2.17</v>
      </c>
      <c r="Q273" s="104"/>
      <c r="R273" s="240">
        <v>250</v>
      </c>
      <c r="S273" s="240">
        <v>125</v>
      </c>
      <c r="T273" s="101"/>
      <c r="U273" s="105">
        <v>600</v>
      </c>
      <c r="V273" s="105">
        <v>100</v>
      </c>
      <c r="W273" s="108" t="s">
        <v>427</v>
      </c>
      <c r="X273" s="108" t="s">
        <v>440</v>
      </c>
    </row>
    <row r="274" spans="1:24" x14ac:dyDescent="0.25">
      <c r="A274" s="99">
        <v>75900</v>
      </c>
      <c r="B274" s="111" t="s">
        <v>606</v>
      </c>
      <c r="C274" s="20"/>
      <c r="D274" s="21" t="str">
        <f t="shared" si="186"/>
        <v/>
      </c>
      <c r="E274" s="21" t="str">
        <f t="shared" si="235"/>
        <v/>
      </c>
      <c r="F274" s="21" t="str">
        <f t="shared" si="182"/>
        <v/>
      </c>
      <c r="G274" s="21" t="str">
        <f t="shared" si="183"/>
        <v/>
      </c>
      <c r="H274" s="21" t="str">
        <f t="shared" si="184"/>
        <v/>
      </c>
      <c r="I274" s="21" t="str">
        <f t="shared" si="185"/>
        <v/>
      </c>
      <c r="J274" s="101"/>
      <c r="K274" s="102">
        <v>82789</v>
      </c>
      <c r="L274" s="102">
        <v>80692</v>
      </c>
      <c r="M274" s="102">
        <f>81391+1200</f>
        <v>82591</v>
      </c>
      <c r="N274" s="102">
        <f>82090+1200</f>
        <v>83290</v>
      </c>
      <c r="O274" s="102">
        <f>82789+1100</f>
        <v>83889</v>
      </c>
      <c r="P274" s="103">
        <v>3</v>
      </c>
      <c r="Q274" s="104"/>
      <c r="R274" s="240">
        <v>250</v>
      </c>
      <c r="S274" s="240">
        <v>125</v>
      </c>
      <c r="T274" s="101"/>
      <c r="U274" s="105">
        <v>600</v>
      </c>
      <c r="V274" s="105">
        <v>100</v>
      </c>
      <c r="W274" s="108" t="s">
        <v>607</v>
      </c>
      <c r="X274" s="108" t="s">
        <v>608</v>
      </c>
    </row>
    <row r="275" spans="1:24" x14ac:dyDescent="0.25">
      <c r="A275" s="99">
        <v>500000</v>
      </c>
      <c r="B275" s="111" t="s">
        <v>553</v>
      </c>
      <c r="C275" s="20"/>
      <c r="D275" s="231"/>
      <c r="E275" s="231"/>
      <c r="F275" s="231"/>
      <c r="G275" s="231"/>
      <c r="H275" s="231"/>
      <c r="I275" s="231"/>
      <c r="J275" s="109"/>
      <c r="K275" s="102"/>
      <c r="L275" s="102">
        <v>500000</v>
      </c>
      <c r="M275" s="102"/>
      <c r="N275" s="102"/>
      <c r="O275" s="102"/>
      <c r="P275" s="103"/>
      <c r="Q275" s="104"/>
      <c r="R275" s="240"/>
      <c r="S275" s="240"/>
      <c r="T275" s="101"/>
      <c r="U275" s="105"/>
      <c r="V275" s="105"/>
      <c r="W275" s="106">
        <v>45349</v>
      </c>
      <c r="X275" s="106" t="s">
        <v>554</v>
      </c>
    </row>
    <row r="276" spans="1:24" x14ac:dyDescent="0.25">
      <c r="A276" s="99">
        <v>269900</v>
      </c>
      <c r="B276" s="100" t="s">
        <v>660</v>
      </c>
      <c r="C276" s="20">
        <v>150000</v>
      </c>
      <c r="D276" s="21">
        <f t="shared" si="186"/>
        <v>25029.401233333334</v>
      </c>
      <c r="E276" s="21">
        <f t="shared" si="235"/>
        <v>14030.484566666666</v>
      </c>
      <c r="F276" s="21">
        <f t="shared" si="182"/>
        <v>10405.845677777779</v>
      </c>
      <c r="G276" s="21">
        <f t="shared" si="183"/>
        <v>8593.5262333333321</v>
      </c>
      <c r="H276" s="231"/>
      <c r="I276" s="231"/>
      <c r="J276" s="109"/>
      <c r="K276" s="102">
        <v>280487</v>
      </c>
      <c r="L276" s="102">
        <v>271180</v>
      </c>
      <c r="M276" s="102">
        <f>274282+1200</f>
        <v>275482</v>
      </c>
      <c r="N276" s="102">
        <f>277384+1200</f>
        <v>278584</v>
      </c>
      <c r="O276" s="102">
        <f>280487+1100</f>
        <v>281587</v>
      </c>
      <c r="P276" s="103">
        <v>2.17</v>
      </c>
      <c r="Q276" s="104">
        <v>200</v>
      </c>
      <c r="R276" s="240">
        <v>250</v>
      </c>
      <c r="S276" s="240">
        <v>125</v>
      </c>
      <c r="T276" s="101"/>
      <c r="U276" s="105">
        <v>350</v>
      </c>
      <c r="V276" s="105">
        <v>100</v>
      </c>
      <c r="W276" s="108" t="s">
        <v>661</v>
      </c>
      <c r="X276" s="106" t="s">
        <v>662</v>
      </c>
    </row>
    <row r="277" spans="1:24" x14ac:dyDescent="0.25">
      <c r="A277" s="99">
        <v>309900</v>
      </c>
      <c r="B277" s="100" t="s">
        <v>663</v>
      </c>
      <c r="C277" s="20">
        <v>150000</v>
      </c>
      <c r="D277" s="21">
        <f t="shared" si="186"/>
        <v>32969.809699999998</v>
      </c>
      <c r="E277" s="21">
        <f t="shared" si="235"/>
        <v>18458.059700000002</v>
      </c>
      <c r="F277" s="21">
        <f t="shared" si="182"/>
        <v>13662.476366666668</v>
      </c>
      <c r="G277" s="21">
        <f t="shared" si="183"/>
        <v>11264.6847</v>
      </c>
      <c r="H277" s="231"/>
      <c r="I277" s="231"/>
      <c r="J277" s="109"/>
      <c r="K277" s="102">
        <v>322641</v>
      </c>
      <c r="L277" s="102">
        <v>311180</v>
      </c>
      <c r="M277" s="102">
        <f>315000+1200</f>
        <v>316200</v>
      </c>
      <c r="N277" s="102">
        <f>318820+1200</f>
        <v>320020</v>
      </c>
      <c r="O277" s="102">
        <f>322641+1100</f>
        <v>323741</v>
      </c>
      <c r="P277" s="103">
        <v>2.17</v>
      </c>
      <c r="Q277" s="104">
        <v>200</v>
      </c>
      <c r="R277" s="240">
        <v>250</v>
      </c>
      <c r="S277" s="240">
        <v>125</v>
      </c>
      <c r="T277" s="101"/>
      <c r="U277" s="105">
        <v>350</v>
      </c>
      <c r="V277" s="105">
        <v>100</v>
      </c>
      <c r="W277" s="108" t="s">
        <v>661</v>
      </c>
      <c r="X277" s="106" t="s">
        <v>662</v>
      </c>
    </row>
    <row r="278" spans="1:24" x14ac:dyDescent="0.25">
      <c r="A278" s="99">
        <v>232900</v>
      </c>
      <c r="B278" s="100" t="s">
        <v>191</v>
      </c>
      <c r="C278" s="20"/>
      <c r="D278" s="21" t="str">
        <f t="shared" si="186"/>
        <v/>
      </c>
      <c r="E278" s="21" t="str">
        <f t="shared" si="235"/>
        <v/>
      </c>
      <c r="F278" s="21" t="str">
        <f t="shared" si="182"/>
        <v/>
      </c>
      <c r="G278" s="21" t="str">
        <f t="shared" si="183"/>
        <v/>
      </c>
      <c r="H278" s="231"/>
      <c r="I278" s="231"/>
      <c r="J278" s="109"/>
      <c r="K278" s="102">
        <f>241336</f>
        <v>241336</v>
      </c>
      <c r="L278" s="102">
        <f>236953</f>
        <v>236953</v>
      </c>
      <c r="M278" s="102">
        <f>238414+1200</f>
        <v>239614</v>
      </c>
      <c r="N278" s="102">
        <f>239875+1200</f>
        <v>241075</v>
      </c>
      <c r="O278" s="102">
        <f>241336+1100</f>
        <v>242436</v>
      </c>
      <c r="P278" s="103">
        <v>3.25</v>
      </c>
      <c r="Q278" s="104"/>
      <c r="R278" s="240">
        <v>250</v>
      </c>
      <c r="S278" s="240">
        <v>125</v>
      </c>
      <c r="T278" s="101"/>
      <c r="U278" s="105">
        <v>350</v>
      </c>
      <c r="V278" s="105">
        <v>100</v>
      </c>
      <c r="W278" s="106" t="s">
        <v>190</v>
      </c>
      <c r="X278" s="106"/>
    </row>
    <row r="279" spans="1:24" x14ac:dyDescent="0.25">
      <c r="A279" s="99">
        <v>284900</v>
      </c>
      <c r="B279" s="100" t="s">
        <v>136</v>
      </c>
      <c r="C279" s="20"/>
      <c r="D279" s="21" t="str">
        <f t="shared" si="186"/>
        <v/>
      </c>
      <c r="E279" s="21" t="str">
        <f t="shared" si="235"/>
        <v/>
      </c>
      <c r="F279" s="21" t="str">
        <f t="shared" si="182"/>
        <v/>
      </c>
      <c r="G279" s="21" t="str">
        <f t="shared" si="183"/>
        <v/>
      </c>
      <c r="H279" s="231"/>
      <c r="I279" s="231"/>
      <c r="J279" s="109"/>
      <c r="K279" s="102">
        <v>294589</v>
      </c>
      <c r="L279" s="102">
        <v>284900</v>
      </c>
      <c r="M279" s="102">
        <f>288129+1200</f>
        <v>289329</v>
      </c>
      <c r="N279" s="102">
        <f>291359+1200</f>
        <v>292559</v>
      </c>
      <c r="O279" s="102">
        <f>294589+1100</f>
        <v>295689</v>
      </c>
      <c r="P279" s="103">
        <v>3.25</v>
      </c>
      <c r="Q279" s="104"/>
      <c r="R279" s="240">
        <v>250</v>
      </c>
      <c r="S279" s="240">
        <v>125</v>
      </c>
      <c r="T279" s="101"/>
      <c r="U279" s="105">
        <v>350</v>
      </c>
      <c r="V279" s="105">
        <v>100</v>
      </c>
      <c r="W279" s="106"/>
      <c r="X279" s="106"/>
    </row>
    <row r="280" spans="1:24" x14ac:dyDescent="0.25">
      <c r="A280" s="99">
        <v>284900</v>
      </c>
      <c r="B280" s="100" t="s">
        <v>195</v>
      </c>
      <c r="C280" s="20"/>
      <c r="D280" s="21" t="str">
        <f t="shared" si="186"/>
        <v/>
      </c>
      <c r="E280" s="21" t="str">
        <f t="shared" si="235"/>
        <v/>
      </c>
      <c r="F280" s="21" t="str">
        <f t="shared" si="182"/>
        <v/>
      </c>
      <c r="G280" s="21" t="str">
        <f t="shared" si="183"/>
        <v/>
      </c>
      <c r="H280" s="231"/>
      <c r="I280" s="231"/>
      <c r="J280" s="109"/>
      <c r="K280" s="102">
        <f>295941</f>
        <v>295941</v>
      </c>
      <c r="L280" s="102">
        <f>284900</f>
        <v>284900</v>
      </c>
      <c r="M280" s="102">
        <f>288580+1200</f>
        <v>289780</v>
      </c>
      <c r="N280" s="102">
        <f>292260+1200</f>
        <v>293460</v>
      </c>
      <c r="O280" s="102">
        <f>295941+1100</f>
        <v>297041</v>
      </c>
      <c r="P280" s="103">
        <v>3.25</v>
      </c>
      <c r="Q280" s="104"/>
      <c r="R280" s="240">
        <v>250</v>
      </c>
      <c r="S280" s="240">
        <v>125</v>
      </c>
      <c r="T280" s="101"/>
      <c r="U280" s="105">
        <v>350</v>
      </c>
      <c r="V280" s="105">
        <v>100</v>
      </c>
      <c r="W280" s="106">
        <v>43556</v>
      </c>
      <c r="X280" s="106"/>
    </row>
    <row r="281" spans="1:24" x14ac:dyDescent="0.25">
      <c r="A281" s="99">
        <v>469000</v>
      </c>
      <c r="B281" s="110" t="s">
        <v>475</v>
      </c>
      <c r="C281" s="20"/>
      <c r="D281" s="231"/>
      <c r="E281" s="231"/>
      <c r="F281" s="231"/>
      <c r="G281" s="231"/>
      <c r="H281" s="231"/>
      <c r="I281" s="231"/>
      <c r="J281" s="109"/>
      <c r="K281" s="102"/>
      <c r="L281" s="102">
        <v>470500</v>
      </c>
      <c r="M281" s="102"/>
      <c r="N281" s="102"/>
      <c r="O281" s="102"/>
      <c r="P281" s="103"/>
      <c r="Q281" s="104"/>
      <c r="R281" s="240"/>
      <c r="S281" s="240"/>
      <c r="T281" s="101"/>
      <c r="U281" s="105"/>
      <c r="V281" s="105"/>
      <c r="W281" s="106">
        <v>45029</v>
      </c>
      <c r="X281" s="106" t="s">
        <v>476</v>
      </c>
    </row>
    <row r="282" spans="1:24" x14ac:dyDescent="0.25">
      <c r="A282" s="99">
        <v>467000</v>
      </c>
      <c r="B282" s="110" t="s">
        <v>719</v>
      </c>
      <c r="C282" s="20"/>
      <c r="D282" s="231"/>
      <c r="E282" s="231"/>
      <c r="F282" s="231"/>
      <c r="G282" s="231"/>
      <c r="H282" s="231"/>
      <c r="I282" s="231"/>
      <c r="J282" s="109"/>
      <c r="K282" s="102"/>
      <c r="L282" s="102">
        <f>467000</f>
        <v>467000</v>
      </c>
      <c r="M282" s="102"/>
      <c r="N282" s="102"/>
      <c r="O282" s="102"/>
      <c r="P282" s="103"/>
      <c r="Q282" s="104"/>
      <c r="R282" s="240"/>
      <c r="S282" s="240"/>
      <c r="T282" s="101"/>
      <c r="U282" s="105"/>
      <c r="V282" s="105"/>
      <c r="W282" s="108" t="s">
        <v>720</v>
      </c>
      <c r="X282" s="106" t="s">
        <v>721</v>
      </c>
    </row>
    <row r="283" spans="1:24" x14ac:dyDescent="0.25">
      <c r="A283" s="99">
        <v>477000</v>
      </c>
      <c r="B283" s="110" t="s">
        <v>722</v>
      </c>
      <c r="C283" s="20"/>
      <c r="D283" s="231"/>
      <c r="E283" s="231"/>
      <c r="F283" s="231"/>
      <c r="G283" s="231"/>
      <c r="H283" s="231"/>
      <c r="I283" s="231"/>
      <c r="J283" s="109"/>
      <c r="K283" s="102"/>
      <c r="L283" s="102">
        <f>477000</f>
        <v>477000</v>
      </c>
      <c r="M283" s="102"/>
      <c r="N283" s="102"/>
      <c r="O283" s="102"/>
      <c r="P283" s="103"/>
      <c r="Q283" s="104"/>
      <c r="R283" s="240"/>
      <c r="S283" s="240"/>
      <c r="T283" s="101"/>
      <c r="U283" s="105"/>
      <c r="V283" s="105"/>
      <c r="W283" s="108" t="s">
        <v>720</v>
      </c>
      <c r="X283" s="106" t="s">
        <v>723</v>
      </c>
    </row>
    <row r="284" spans="1:24" x14ac:dyDescent="0.25">
      <c r="A284" s="99">
        <v>133400</v>
      </c>
      <c r="B284" s="100" t="s">
        <v>153</v>
      </c>
      <c r="C284" s="20"/>
      <c r="D284" s="21" t="str">
        <f t="shared" si="186"/>
        <v/>
      </c>
      <c r="E284" s="21" t="str">
        <f t="shared" si="235"/>
        <v/>
      </c>
      <c r="F284" s="21" t="str">
        <f t="shared" si="182"/>
        <v/>
      </c>
      <c r="G284" s="21" t="str">
        <f t="shared" si="183"/>
        <v/>
      </c>
      <c r="H284" s="21" t="str">
        <f t="shared" si="184"/>
        <v/>
      </c>
      <c r="I284" s="21" t="str">
        <f>IF(C284&gt;=1, (K284-C284)*(1+$P284*$I$4/100)/$I$4+Q284+S284, "")</f>
        <v/>
      </c>
      <c r="J284" s="109"/>
      <c r="K284" s="102">
        <v>137043</v>
      </c>
      <c r="L284" s="102">
        <v>133400</v>
      </c>
      <c r="M284" s="102">
        <f>134614+1200</f>
        <v>135814</v>
      </c>
      <c r="N284" s="102">
        <f>135828+1200</f>
        <v>137028</v>
      </c>
      <c r="O284" s="102">
        <f>137043+1100</f>
        <v>138143</v>
      </c>
      <c r="P284" s="103">
        <v>2.17</v>
      </c>
      <c r="Q284" s="104">
        <v>200</v>
      </c>
      <c r="R284" s="240">
        <v>250</v>
      </c>
      <c r="S284" s="240">
        <v>125</v>
      </c>
      <c r="T284" s="101"/>
      <c r="U284" s="105">
        <v>200</v>
      </c>
      <c r="V284" s="105">
        <v>100</v>
      </c>
      <c r="W284" s="106" t="s">
        <v>155</v>
      </c>
      <c r="X284" s="106"/>
    </row>
    <row r="285" spans="1:24" x14ac:dyDescent="0.25">
      <c r="A285" s="99">
        <v>134900</v>
      </c>
      <c r="B285" s="100" t="s">
        <v>186</v>
      </c>
      <c r="C285" s="20"/>
      <c r="D285" s="21" t="str">
        <f t="shared" si="186"/>
        <v/>
      </c>
      <c r="E285" s="21" t="str">
        <f t="shared" si="235"/>
        <v/>
      </c>
      <c r="F285" s="21" t="str">
        <f t="shared" si="182"/>
        <v/>
      </c>
      <c r="G285" s="21" t="str">
        <f t="shared" si="183"/>
        <v/>
      </c>
      <c r="H285" s="21" t="str">
        <f t="shared" si="184"/>
        <v/>
      </c>
      <c r="I285" s="21" t="str">
        <f t="shared" ref="I285:I312" si="236">IF(C285&gt;=1, (K285-C285)*(1+$P285*$I$4/100)/$I$4+Q285+S285, "")</f>
        <v/>
      </c>
      <c r="J285" s="109"/>
      <c r="K285" s="102">
        <v>138543</v>
      </c>
      <c r="L285" s="102">
        <v>134900</v>
      </c>
      <c r="M285" s="102">
        <f>136114+1200</f>
        <v>137314</v>
      </c>
      <c r="N285" s="102">
        <f>137328+1200</f>
        <v>138528</v>
      </c>
      <c r="O285" s="102">
        <f>138543+1100</f>
        <v>139643</v>
      </c>
      <c r="P285" s="103">
        <v>2.17</v>
      </c>
      <c r="Q285" s="104">
        <v>200</v>
      </c>
      <c r="R285" s="240">
        <v>250</v>
      </c>
      <c r="S285" s="240">
        <v>125</v>
      </c>
      <c r="T285" s="101"/>
      <c r="U285" s="105">
        <v>200</v>
      </c>
      <c r="V285" s="105">
        <v>100</v>
      </c>
      <c r="W285" s="108" t="s">
        <v>182</v>
      </c>
      <c r="X285" s="108"/>
    </row>
    <row r="286" spans="1:24" x14ac:dyDescent="0.25">
      <c r="A286" s="99">
        <v>135900</v>
      </c>
      <c r="B286" s="100" t="s">
        <v>244</v>
      </c>
      <c r="C286" s="20"/>
      <c r="D286" s="21" t="str">
        <f t="shared" si="186"/>
        <v/>
      </c>
      <c r="E286" s="21" t="str">
        <f t="shared" si="235"/>
        <v/>
      </c>
      <c r="F286" s="21" t="str">
        <f t="shared" si="182"/>
        <v/>
      </c>
      <c r="G286" s="21" t="str">
        <f t="shared" si="183"/>
        <v/>
      </c>
      <c r="H286" s="21" t="str">
        <f t="shared" si="184"/>
        <v/>
      </c>
      <c r="I286" s="21" t="str">
        <f t="shared" si="236"/>
        <v/>
      </c>
      <c r="J286" s="109"/>
      <c r="K286" s="102">
        <v>139743</v>
      </c>
      <c r="L286" s="102">
        <v>136100</v>
      </c>
      <c r="M286" s="102">
        <f>137314+1200</f>
        <v>138514</v>
      </c>
      <c r="N286" s="102">
        <f>138528+1200</f>
        <v>139728</v>
      </c>
      <c r="O286" s="102">
        <f>139743+1100</f>
        <v>140843</v>
      </c>
      <c r="P286" s="103">
        <v>2.17</v>
      </c>
      <c r="Q286" s="104">
        <v>200</v>
      </c>
      <c r="R286" s="240">
        <v>250</v>
      </c>
      <c r="S286" s="240">
        <v>125</v>
      </c>
      <c r="T286" s="101"/>
      <c r="U286" s="105">
        <v>200</v>
      </c>
      <c r="V286" s="105">
        <v>100</v>
      </c>
      <c r="W286" s="108" t="s">
        <v>243</v>
      </c>
      <c r="X286" s="106" t="s">
        <v>245</v>
      </c>
    </row>
    <row r="287" spans="1:24" x14ac:dyDescent="0.25">
      <c r="A287" s="99">
        <v>147900</v>
      </c>
      <c r="B287" s="100" t="s">
        <v>358</v>
      </c>
      <c r="C287" s="20"/>
      <c r="D287" s="21" t="str">
        <f t="shared" si="186"/>
        <v/>
      </c>
      <c r="E287" s="21" t="str">
        <f t="shared" si="235"/>
        <v/>
      </c>
      <c r="F287" s="21" t="str">
        <f t="shared" si="182"/>
        <v/>
      </c>
      <c r="G287" s="21" t="str">
        <f t="shared" si="183"/>
        <v/>
      </c>
      <c r="H287" s="21" t="str">
        <f t="shared" si="184"/>
        <v/>
      </c>
      <c r="I287" s="21" t="str">
        <f t="shared" si="236"/>
        <v/>
      </c>
      <c r="J287" s="109"/>
      <c r="K287" s="102">
        <v>153243</v>
      </c>
      <c r="L287" s="102">
        <v>149600</v>
      </c>
      <c r="M287" s="102">
        <f>150814+1200</f>
        <v>152014</v>
      </c>
      <c r="N287" s="102">
        <f>152028+1200</f>
        <v>153228</v>
      </c>
      <c r="O287" s="102">
        <f>153243+1100</f>
        <v>154343</v>
      </c>
      <c r="P287" s="103">
        <v>2.17</v>
      </c>
      <c r="Q287" s="104">
        <v>200</v>
      </c>
      <c r="R287" s="240">
        <v>250</v>
      </c>
      <c r="S287" s="240">
        <v>125</v>
      </c>
      <c r="T287" s="101"/>
      <c r="U287" s="105">
        <v>200</v>
      </c>
      <c r="V287" s="105">
        <v>100</v>
      </c>
      <c r="W287" s="108" t="s">
        <v>427</v>
      </c>
      <c r="X287" s="106" t="s">
        <v>432</v>
      </c>
    </row>
    <row r="288" spans="1:24" x14ac:dyDescent="0.25">
      <c r="A288" s="99">
        <v>306000</v>
      </c>
      <c r="B288" s="100" t="s">
        <v>727</v>
      </c>
      <c r="C288" s="20"/>
      <c r="D288" s="231"/>
      <c r="E288" s="231"/>
      <c r="F288" s="231"/>
      <c r="G288" s="231"/>
      <c r="H288" s="231"/>
      <c r="I288" s="231"/>
      <c r="J288" s="109"/>
      <c r="K288" s="102"/>
      <c r="L288" s="102">
        <v>306000</v>
      </c>
      <c r="M288" s="102"/>
      <c r="N288" s="102"/>
      <c r="O288" s="102"/>
      <c r="P288" s="103"/>
      <c r="Q288" s="104"/>
      <c r="R288" s="240"/>
      <c r="S288" s="240"/>
      <c r="T288" s="101"/>
      <c r="U288" s="105"/>
      <c r="V288" s="105"/>
      <c r="W288" s="108" t="s">
        <v>728</v>
      </c>
      <c r="X288" s="106" t="s">
        <v>729</v>
      </c>
    </row>
    <row r="289" spans="1:25" x14ac:dyDescent="0.25">
      <c r="A289" s="99">
        <v>189000</v>
      </c>
      <c r="B289" s="111" t="s">
        <v>449</v>
      </c>
      <c r="C289" s="20"/>
      <c r="D289" s="231"/>
      <c r="E289" s="231"/>
      <c r="F289" s="231"/>
      <c r="G289" s="231"/>
      <c r="H289" s="231"/>
      <c r="I289" s="231"/>
      <c r="J289" s="109"/>
      <c r="K289" s="102"/>
      <c r="L289" s="102">
        <v>189000</v>
      </c>
      <c r="M289" s="102"/>
      <c r="N289" s="102"/>
      <c r="O289" s="102"/>
      <c r="P289" s="103"/>
      <c r="Q289" s="104"/>
      <c r="R289" s="240"/>
      <c r="S289" s="240"/>
      <c r="T289" s="101"/>
      <c r="U289" s="105"/>
      <c r="V289" s="105"/>
      <c r="W289" s="108" t="s">
        <v>443</v>
      </c>
      <c r="X289" s="106" t="s">
        <v>476</v>
      </c>
    </row>
    <row r="290" spans="1:25" x14ac:dyDescent="0.25">
      <c r="A290" s="99">
        <v>106900</v>
      </c>
      <c r="B290" s="111" t="s">
        <v>223</v>
      </c>
      <c r="C290" s="20"/>
      <c r="D290" s="21" t="str">
        <f t="shared" si="186"/>
        <v/>
      </c>
      <c r="E290" s="21" t="str">
        <f t="shared" si="235"/>
        <v/>
      </c>
      <c r="F290" s="21" t="str">
        <f t="shared" si="182"/>
        <v/>
      </c>
      <c r="G290" s="21" t="str">
        <f t="shared" si="183"/>
        <v/>
      </c>
      <c r="H290" s="21" t="str">
        <f t="shared" si="184"/>
        <v/>
      </c>
      <c r="I290" s="21" t="str">
        <f t="shared" si="236"/>
        <v/>
      </c>
      <c r="J290" s="109"/>
      <c r="K290" s="102">
        <v>110370</v>
      </c>
      <c r="L290" s="102">
        <v>108600</v>
      </c>
      <c r="M290" s="102">
        <f>109190+1200</f>
        <v>110390</v>
      </c>
      <c r="N290" s="102">
        <f>109780+1200</f>
        <v>110980</v>
      </c>
      <c r="O290" s="102">
        <f>110370+1100</f>
        <v>111470</v>
      </c>
      <c r="P290" s="103">
        <v>2.17</v>
      </c>
      <c r="Q290" s="104">
        <v>200</v>
      </c>
      <c r="R290" s="240">
        <v>250</v>
      </c>
      <c r="S290" s="240">
        <v>125</v>
      </c>
      <c r="T290" s="101"/>
      <c r="U290" s="105">
        <v>350</v>
      </c>
      <c r="V290" s="105">
        <v>100</v>
      </c>
      <c r="W290" s="108" t="s">
        <v>427</v>
      </c>
      <c r="X290" s="108" t="s">
        <v>430</v>
      </c>
    </row>
    <row r="291" spans="1:25" ht="12.75" customHeight="1" x14ac:dyDescent="0.25">
      <c r="A291" s="99">
        <v>56900</v>
      </c>
      <c r="B291" s="111" t="s">
        <v>707</v>
      </c>
      <c r="C291" s="20">
        <v>20000</v>
      </c>
      <c r="D291" s="21">
        <f t="shared" si="186"/>
        <v>8782.3994999999995</v>
      </c>
      <c r="E291" s="21">
        <f t="shared" si="235"/>
        <v>4971.1495000000004</v>
      </c>
      <c r="F291" s="21">
        <f t="shared" si="182"/>
        <v>3742.3995000000004</v>
      </c>
      <c r="G291" s="21">
        <f t="shared" si="183"/>
        <v>3128.0245</v>
      </c>
      <c r="H291" s="21">
        <f t="shared" si="184"/>
        <v>2759.3994999999995</v>
      </c>
      <c r="I291" s="21">
        <f t="shared" si="236"/>
        <v>2513.6495000000004</v>
      </c>
      <c r="J291" s="101"/>
      <c r="K291" s="102">
        <f>64235</f>
        <v>64235</v>
      </c>
      <c r="L291" s="102">
        <f>62428</f>
        <v>62428</v>
      </c>
      <c r="M291" s="102">
        <f>63030+1200</f>
        <v>64230</v>
      </c>
      <c r="N291" s="102">
        <f>63632+1200</f>
        <v>64832</v>
      </c>
      <c r="O291" s="102">
        <f>64235+1100</f>
        <v>65335</v>
      </c>
      <c r="P291" s="103">
        <v>2.17</v>
      </c>
      <c r="Q291" s="104">
        <v>200</v>
      </c>
      <c r="R291" s="240">
        <v>250</v>
      </c>
      <c r="S291" s="240">
        <v>125</v>
      </c>
      <c r="T291" s="101"/>
      <c r="U291" s="105">
        <v>200</v>
      </c>
      <c r="V291" s="105">
        <v>100</v>
      </c>
      <c r="W291" s="108" t="s">
        <v>714</v>
      </c>
      <c r="X291" s="106" t="s">
        <v>713</v>
      </c>
      <c r="Y291" s="221"/>
    </row>
    <row r="292" spans="1:25" x14ac:dyDescent="0.25">
      <c r="A292" s="99">
        <v>145900</v>
      </c>
      <c r="B292" s="111" t="s">
        <v>455</v>
      </c>
      <c r="C292" s="20"/>
      <c r="D292" s="21" t="str">
        <f t="shared" si="186"/>
        <v/>
      </c>
      <c r="E292" s="21" t="str">
        <f t="shared" si="235"/>
        <v/>
      </c>
      <c r="F292" s="21" t="str">
        <f t="shared" si="182"/>
        <v/>
      </c>
      <c r="G292" s="21" t="str">
        <f t="shared" si="183"/>
        <v/>
      </c>
      <c r="H292" s="21" t="str">
        <f t="shared" si="184"/>
        <v/>
      </c>
      <c r="I292" s="21" t="str">
        <f t="shared" si="236"/>
        <v/>
      </c>
      <c r="J292" s="109"/>
      <c r="K292" s="102">
        <f>148031</f>
        <v>148031</v>
      </c>
      <c r="L292" s="102">
        <f>145900</f>
        <v>145900</v>
      </c>
      <c r="M292" s="102">
        <f>146610+1200</f>
        <v>147810</v>
      </c>
      <c r="N292" s="102">
        <f>147320+1200</f>
        <v>148520</v>
      </c>
      <c r="O292" s="102">
        <f>148031+1100</f>
        <v>149131</v>
      </c>
      <c r="P292" s="103">
        <v>2.17</v>
      </c>
      <c r="Q292" s="104">
        <v>200</v>
      </c>
      <c r="R292" s="240">
        <v>250</v>
      </c>
      <c r="S292" s="240">
        <v>125</v>
      </c>
      <c r="T292" s="101"/>
      <c r="U292" s="105">
        <v>200</v>
      </c>
      <c r="V292" s="105">
        <v>100</v>
      </c>
      <c r="W292" s="108" t="s">
        <v>397</v>
      </c>
      <c r="X292" s="106" t="s">
        <v>399</v>
      </c>
    </row>
    <row r="293" spans="1:25" x14ac:dyDescent="0.25">
      <c r="A293" s="99">
        <v>151900</v>
      </c>
      <c r="B293" s="111" t="s">
        <v>454</v>
      </c>
      <c r="C293" s="20"/>
      <c r="D293" s="21" t="str">
        <f t="shared" si="186"/>
        <v/>
      </c>
      <c r="E293" s="21" t="str">
        <f t="shared" si="235"/>
        <v/>
      </c>
      <c r="F293" s="21" t="str">
        <f t="shared" si="182"/>
        <v/>
      </c>
      <c r="G293" s="21" t="str">
        <f t="shared" si="183"/>
        <v/>
      </c>
      <c r="H293" s="21" t="str">
        <f t="shared" si="184"/>
        <v/>
      </c>
      <c r="I293" s="21" t="str">
        <f t="shared" si="236"/>
        <v/>
      </c>
      <c r="J293" s="109"/>
      <c r="K293" s="102">
        <v>155311</v>
      </c>
      <c r="L293" s="102">
        <v>153180</v>
      </c>
      <c r="M293" s="102">
        <f>153890+1200</f>
        <v>155090</v>
      </c>
      <c r="N293" s="102">
        <f>154600+1200</f>
        <v>155800</v>
      </c>
      <c r="O293" s="102">
        <f>155311+1100</f>
        <v>156411</v>
      </c>
      <c r="P293" s="103">
        <v>2.17</v>
      </c>
      <c r="Q293" s="104">
        <v>200</v>
      </c>
      <c r="R293" s="240">
        <v>250</v>
      </c>
      <c r="S293" s="240">
        <v>125</v>
      </c>
      <c r="T293" s="101"/>
      <c r="U293" s="105">
        <v>200</v>
      </c>
      <c r="V293" s="105">
        <v>100</v>
      </c>
      <c r="W293" s="108" t="s">
        <v>427</v>
      </c>
      <c r="X293" s="108" t="s">
        <v>441</v>
      </c>
    </row>
    <row r="294" spans="1:25" x14ac:dyDescent="0.25">
      <c r="A294" s="99">
        <v>133900</v>
      </c>
      <c r="B294" s="111" t="s">
        <v>369</v>
      </c>
      <c r="C294" s="20"/>
      <c r="D294" s="21" t="str">
        <f t="shared" si="186"/>
        <v/>
      </c>
      <c r="E294" s="21" t="str">
        <f t="shared" si="235"/>
        <v/>
      </c>
      <c r="F294" s="21" t="str">
        <f t="shared" si="182"/>
        <v/>
      </c>
      <c r="G294" s="21" t="str">
        <f t="shared" si="183"/>
        <v/>
      </c>
      <c r="H294" s="21" t="str">
        <f t="shared" si="184"/>
        <v/>
      </c>
      <c r="I294" s="21" t="str">
        <f t="shared" si="236"/>
        <v/>
      </c>
      <c r="J294" s="109"/>
      <c r="K294" s="102">
        <f>137168</f>
        <v>137168</v>
      </c>
      <c r="L294" s="102">
        <f>135180</f>
        <v>135180</v>
      </c>
      <c r="M294" s="102">
        <f>135842+1200</f>
        <v>137042</v>
      </c>
      <c r="N294" s="102">
        <f>136505+1200</f>
        <v>137705</v>
      </c>
      <c r="O294" s="102">
        <f>137168+1100</f>
        <v>138268</v>
      </c>
      <c r="P294" s="103">
        <v>2.17</v>
      </c>
      <c r="Q294" s="104">
        <v>200</v>
      </c>
      <c r="R294" s="240">
        <v>250</v>
      </c>
      <c r="S294" s="240">
        <v>125</v>
      </c>
      <c r="T294" s="101"/>
      <c r="U294" s="105">
        <v>200</v>
      </c>
      <c r="V294" s="105">
        <v>50</v>
      </c>
      <c r="W294" s="108" t="s">
        <v>427</v>
      </c>
      <c r="X294" s="108" t="s">
        <v>428</v>
      </c>
    </row>
    <row r="295" spans="1:25" x14ac:dyDescent="0.25">
      <c r="A295" s="99">
        <v>149900</v>
      </c>
      <c r="B295" s="111" t="s">
        <v>508</v>
      </c>
      <c r="C295" s="20"/>
      <c r="D295" s="21" t="str">
        <f t="shared" si="186"/>
        <v/>
      </c>
      <c r="E295" s="21" t="str">
        <f t="shared" si="235"/>
        <v/>
      </c>
      <c r="F295" s="21" t="str">
        <f t="shared" si="182"/>
        <v/>
      </c>
      <c r="G295" s="21" t="str">
        <f t="shared" si="183"/>
        <v/>
      </c>
      <c r="H295" s="21" t="str">
        <f t="shared" si="184"/>
        <v/>
      </c>
      <c r="I295" s="21" t="str">
        <f t="shared" si="236"/>
        <v/>
      </c>
      <c r="J295" s="109"/>
      <c r="K295" s="102">
        <v>155311</v>
      </c>
      <c r="L295" s="102">
        <v>153180</v>
      </c>
      <c r="M295" s="102">
        <f>153890+1200</f>
        <v>155090</v>
      </c>
      <c r="N295" s="102">
        <f>154600+1200</f>
        <v>155800</v>
      </c>
      <c r="O295" s="102">
        <f>155311+1100</f>
        <v>156411</v>
      </c>
      <c r="P295" s="103">
        <v>2.17</v>
      </c>
      <c r="Q295" s="104">
        <v>200</v>
      </c>
      <c r="R295" s="240">
        <v>250</v>
      </c>
      <c r="S295" s="240">
        <v>125</v>
      </c>
      <c r="T295" s="101"/>
      <c r="U295" s="105">
        <v>200</v>
      </c>
      <c r="V295" s="105">
        <v>100</v>
      </c>
      <c r="W295" s="108" t="s">
        <v>503</v>
      </c>
      <c r="X295" s="108" t="s">
        <v>507</v>
      </c>
    </row>
    <row r="296" spans="1:25" x14ac:dyDescent="0.25">
      <c r="A296" s="99">
        <v>131900</v>
      </c>
      <c r="B296" s="111" t="s">
        <v>505</v>
      </c>
      <c r="C296" s="20"/>
      <c r="D296" s="21" t="str">
        <f t="shared" si="186"/>
        <v/>
      </c>
      <c r="E296" s="21" t="str">
        <f t="shared" si="235"/>
        <v/>
      </c>
      <c r="F296" s="21" t="str">
        <f t="shared" si="182"/>
        <v/>
      </c>
      <c r="G296" s="21" t="str">
        <f t="shared" si="183"/>
        <v/>
      </c>
      <c r="H296" s="21" t="str">
        <f t="shared" si="184"/>
        <v/>
      </c>
      <c r="I296" s="21" t="str">
        <f t="shared" si="236"/>
        <v/>
      </c>
      <c r="J296" s="109"/>
      <c r="K296" s="102">
        <f>137168</f>
        <v>137168</v>
      </c>
      <c r="L296" s="102">
        <f>135180</f>
        <v>135180</v>
      </c>
      <c r="M296" s="102">
        <f>135842+1200</f>
        <v>137042</v>
      </c>
      <c r="N296" s="102">
        <f>136505+1200</f>
        <v>137705</v>
      </c>
      <c r="O296" s="102">
        <f>137168+1100</f>
        <v>138268</v>
      </c>
      <c r="P296" s="103">
        <v>2.17</v>
      </c>
      <c r="Q296" s="104">
        <v>200</v>
      </c>
      <c r="R296" s="240">
        <v>250</v>
      </c>
      <c r="S296" s="240">
        <v>125</v>
      </c>
      <c r="T296" s="101"/>
      <c r="U296" s="105">
        <v>200</v>
      </c>
      <c r="V296" s="105">
        <v>50</v>
      </c>
      <c r="W296" s="108" t="s">
        <v>503</v>
      </c>
      <c r="X296" s="108" t="s">
        <v>506</v>
      </c>
    </row>
    <row r="297" spans="1:25" x14ac:dyDescent="0.25">
      <c r="A297" s="99">
        <v>133400</v>
      </c>
      <c r="B297" s="111" t="s">
        <v>673</v>
      </c>
      <c r="C297" s="20">
        <v>50000</v>
      </c>
      <c r="D297" s="21">
        <f t="shared" ref="D297" si="237">IF(C297&gt;=1,(K297-C297)*(1+P297*$D$4/100)/$D$4+Q297+R297,"")</f>
        <v>17152.095599999997</v>
      </c>
      <c r="E297" s="21">
        <f t="shared" ref="E297" si="238">IF(C297&gt;=1,(K297-C297)*(1+P297*$E$4/100)/$E$4+Q297+S297,"")</f>
        <v>9638.0955999999987</v>
      </c>
      <c r="F297" s="21">
        <f t="shared" ref="F297" si="239">IF(C297&gt;=1,(K297-C297)*(1+$P297*$F$4/100)/$F$4+Q297+S297, "")</f>
        <v>7175.0956000000006</v>
      </c>
      <c r="G297" s="21">
        <f t="shared" ref="G297" si="240">IF(C297&gt;=1, (K297-C297)*(1+$P297*$G$4/100)/$G$4+Q297+S297,"")</f>
        <v>5943.5955999999996</v>
      </c>
      <c r="H297" s="21">
        <f t="shared" ref="H297" si="241">IF(C297&gt;=1, (K297-C297)*(1+$P297*$H$4/100)/$H$4+Q297+S297, "")</f>
        <v>5204.6956</v>
      </c>
      <c r="I297" s="21">
        <f t="shared" ref="I297" si="242">IF(C297&gt;=1, (K297-C297)*(1+$P297*$I$4/100)/$I$4+Q297+S297, "")</f>
        <v>4712.0956000000006</v>
      </c>
      <c r="J297" s="109"/>
      <c r="K297" s="102">
        <f>138668</f>
        <v>138668</v>
      </c>
      <c r="L297" s="102">
        <f>136680</f>
        <v>136680</v>
      </c>
      <c r="M297" s="102">
        <f>137342+1200</f>
        <v>138542</v>
      </c>
      <c r="N297" s="102">
        <f>138005+1200</f>
        <v>139205</v>
      </c>
      <c r="O297" s="102">
        <f>138668+1100</f>
        <v>139768</v>
      </c>
      <c r="P297" s="103">
        <v>2.17</v>
      </c>
      <c r="Q297" s="104">
        <v>200</v>
      </c>
      <c r="R297" s="240">
        <v>250</v>
      </c>
      <c r="S297" s="240">
        <v>125</v>
      </c>
      <c r="T297" s="101"/>
      <c r="U297" s="105">
        <v>200</v>
      </c>
      <c r="V297" s="105">
        <v>50</v>
      </c>
      <c r="W297" s="108" t="s">
        <v>674</v>
      </c>
      <c r="X297" s="108" t="s">
        <v>675</v>
      </c>
    </row>
    <row r="298" spans="1:25" x14ac:dyDescent="0.25">
      <c r="A298" s="99">
        <v>154900</v>
      </c>
      <c r="B298" s="111" t="s">
        <v>676</v>
      </c>
      <c r="C298" s="20">
        <v>50000</v>
      </c>
      <c r="D298" s="21">
        <f t="shared" ref="D298" si="243">IF(C298&gt;=1,(K298-C298)*(1+P298*$D$4/100)/$D$4+Q298+R298,"")</f>
        <v>21228.915366666664</v>
      </c>
      <c r="E298" s="21">
        <f t="shared" ref="E298" si="244">IF(C298&gt;=1,(K298-C298)*(1+P298*$E$4/100)/$E$4+Q298+S298,"")</f>
        <v>11911.332033333332</v>
      </c>
      <c r="F298" s="21">
        <f t="shared" ref="F298" si="245">IF(C298&gt;=1,(K298-C298)*(1+$P298*$F$4/100)/$F$4+Q298+S298, "")</f>
        <v>8847.1375888888888</v>
      </c>
      <c r="G298" s="21">
        <f t="shared" ref="G298" si="246">IF(C298&gt;=1, (K298-C298)*(1+$P298*$G$4/100)/$G$4+Q298+S298,"")</f>
        <v>7315.0403666666671</v>
      </c>
      <c r="H298" s="21">
        <f t="shared" ref="H298" si="247">IF(C298&gt;=1, (K298-C298)*(1+$P298*$H$4/100)/$H$4+Q298+S298, "")</f>
        <v>6395.7820333333329</v>
      </c>
      <c r="I298" s="21">
        <f t="shared" ref="I298" si="248">IF(C298&gt;=1, (K298-C298)*(1+$P298*$I$4/100)/$I$4+Q298+S298, "")</f>
        <v>5782.9431444444454</v>
      </c>
      <c r="J298" s="109"/>
      <c r="K298" s="102">
        <f>160311</f>
        <v>160311</v>
      </c>
      <c r="L298" s="102">
        <f>158180</f>
        <v>158180</v>
      </c>
      <c r="M298" s="102">
        <f>158890+1200</f>
        <v>160090</v>
      </c>
      <c r="N298" s="102">
        <f>159600+1200</f>
        <v>160800</v>
      </c>
      <c r="O298" s="102">
        <f>160311+1100</f>
        <v>161411</v>
      </c>
      <c r="P298" s="103">
        <v>2.17</v>
      </c>
      <c r="Q298" s="104">
        <v>200</v>
      </c>
      <c r="R298" s="240">
        <v>250</v>
      </c>
      <c r="S298" s="240">
        <v>125</v>
      </c>
      <c r="T298" s="101"/>
      <c r="U298" s="105">
        <v>200</v>
      </c>
      <c r="V298" s="105">
        <v>100</v>
      </c>
      <c r="W298" s="108" t="s">
        <v>674</v>
      </c>
      <c r="X298" s="108" t="s">
        <v>677</v>
      </c>
    </row>
    <row r="299" spans="1:25" x14ac:dyDescent="0.25">
      <c r="A299" s="99">
        <v>94900</v>
      </c>
      <c r="B299" s="100" t="s">
        <v>106</v>
      </c>
      <c r="C299" s="20"/>
      <c r="D299" s="21" t="str">
        <f t="shared" si="186"/>
        <v/>
      </c>
      <c r="E299" s="21" t="str">
        <f t="shared" si="235"/>
        <v/>
      </c>
      <c r="F299" s="21" t="str">
        <f t="shared" ref="F299:F312" si="249">IF(C299&gt;=1,(K299-C299)*(1+$P299*$F$4/100)/$F$4+Q299+S299, "")</f>
        <v/>
      </c>
      <c r="G299" s="21" t="str">
        <f t="shared" ref="G299:G312" si="250">IF(C299&gt;=1, (K299-C299)*(1+$P299*$G$4/100)/$G$4+Q299+S299,"")</f>
        <v/>
      </c>
      <c r="H299" s="21" t="str">
        <f t="shared" ref="H299:H312" si="251">IF(C299&gt;=1, (K299-C299)*(1+$P299*$H$4/100)/$H$4+Q299+S299, "")</f>
        <v/>
      </c>
      <c r="I299" s="21" t="str">
        <f t="shared" si="236"/>
        <v/>
      </c>
      <c r="J299" s="101"/>
      <c r="K299" s="102">
        <v>101146</v>
      </c>
      <c r="L299" s="102">
        <v>95684</v>
      </c>
      <c r="M299" s="102">
        <f>98464+240</f>
        <v>98704</v>
      </c>
      <c r="N299" s="102">
        <f>100285+240</f>
        <v>100525</v>
      </c>
      <c r="O299" s="102">
        <f>102006+240</f>
        <v>102246</v>
      </c>
      <c r="P299" s="103">
        <v>2.17</v>
      </c>
      <c r="Q299" s="104">
        <v>200</v>
      </c>
      <c r="R299" s="240">
        <v>250</v>
      </c>
      <c r="S299" s="240">
        <v>125</v>
      </c>
      <c r="T299" s="101"/>
      <c r="U299" s="105">
        <v>200</v>
      </c>
      <c r="V299" s="105">
        <v>100</v>
      </c>
      <c r="W299" s="106"/>
      <c r="X299" s="106"/>
    </row>
    <row r="300" spans="1:25" x14ac:dyDescent="0.25">
      <c r="A300" s="99">
        <v>97300</v>
      </c>
      <c r="B300" s="100" t="s">
        <v>129</v>
      </c>
      <c r="C300" s="20"/>
      <c r="D300" s="21" t="str">
        <f t="shared" ref="D300:D312" si="252">IF(C300&gt;=1,(K300-C300)*(1+P300*$D$4/100)/$D$4+Q300+R300,"")</f>
        <v/>
      </c>
      <c r="E300" s="21" t="str">
        <f t="shared" si="235"/>
        <v/>
      </c>
      <c r="F300" s="21" t="str">
        <f t="shared" si="249"/>
        <v/>
      </c>
      <c r="G300" s="21" t="str">
        <f t="shared" si="250"/>
        <v/>
      </c>
      <c r="H300" s="21" t="str">
        <f t="shared" si="251"/>
        <v/>
      </c>
      <c r="I300" s="21" t="str">
        <f t="shared" si="236"/>
        <v/>
      </c>
      <c r="J300" s="101"/>
      <c r="K300" s="102">
        <v>102645</v>
      </c>
      <c r="L300" s="102">
        <v>98879</v>
      </c>
      <c r="M300" s="102">
        <f>101094+240</f>
        <v>101334</v>
      </c>
      <c r="N300" s="102">
        <f>102349+240</f>
        <v>102589</v>
      </c>
      <c r="O300" s="102">
        <f>103505+240</f>
        <v>103745</v>
      </c>
      <c r="P300" s="103">
        <v>2.17</v>
      </c>
      <c r="Q300" s="104">
        <v>200</v>
      </c>
      <c r="R300" s="240">
        <v>250</v>
      </c>
      <c r="S300" s="240">
        <v>125</v>
      </c>
      <c r="T300" s="101"/>
      <c r="U300" s="105">
        <v>200</v>
      </c>
      <c r="V300" s="105">
        <v>100</v>
      </c>
      <c r="W300" s="106"/>
      <c r="X300" s="106"/>
    </row>
    <row r="301" spans="1:25" x14ac:dyDescent="0.25">
      <c r="A301" s="99">
        <v>96500</v>
      </c>
      <c r="B301" s="100" t="s">
        <v>175</v>
      </c>
      <c r="C301" s="20"/>
      <c r="D301" s="21" t="str">
        <f t="shared" si="252"/>
        <v/>
      </c>
      <c r="E301" s="21" t="str">
        <f t="shared" si="235"/>
        <v/>
      </c>
      <c r="F301" s="21" t="str">
        <f t="shared" si="249"/>
        <v/>
      </c>
      <c r="G301" s="21" t="str">
        <f t="shared" si="250"/>
        <v/>
      </c>
      <c r="H301" s="21" t="str">
        <f t="shared" si="251"/>
        <v/>
      </c>
      <c r="I301" s="21" t="str">
        <f t="shared" si="236"/>
        <v/>
      </c>
      <c r="J301" s="101"/>
      <c r="K301" s="102">
        <v>100903</v>
      </c>
      <c r="L301" s="102">
        <v>96499</v>
      </c>
      <c r="M301" s="102">
        <f>98927+240</f>
        <v>99167</v>
      </c>
      <c r="N301" s="102">
        <f>100395+240</f>
        <v>100635</v>
      </c>
      <c r="O301" s="102">
        <f>101763+240</f>
        <v>102003</v>
      </c>
      <c r="P301" s="103">
        <v>2.17</v>
      </c>
      <c r="Q301" s="104">
        <v>200</v>
      </c>
      <c r="R301" s="240">
        <v>250</v>
      </c>
      <c r="S301" s="240">
        <v>125</v>
      </c>
      <c r="T301" s="101"/>
      <c r="U301" s="105">
        <v>200</v>
      </c>
      <c r="V301" s="105">
        <v>100</v>
      </c>
      <c r="W301" s="108" t="s">
        <v>176</v>
      </c>
      <c r="X301" s="108"/>
    </row>
    <row r="302" spans="1:25" x14ac:dyDescent="0.25">
      <c r="A302" s="99">
        <v>97300</v>
      </c>
      <c r="B302" s="100" t="s">
        <v>187</v>
      </c>
      <c r="C302" s="20"/>
      <c r="D302" s="21" t="str">
        <f t="shared" si="252"/>
        <v/>
      </c>
      <c r="E302" s="21" t="str">
        <f t="shared" si="235"/>
        <v/>
      </c>
      <c r="F302" s="21" t="str">
        <f t="shared" si="249"/>
        <v/>
      </c>
      <c r="G302" s="21" t="str">
        <f t="shared" si="250"/>
        <v/>
      </c>
      <c r="H302" s="21" t="str">
        <f t="shared" si="251"/>
        <v/>
      </c>
      <c r="I302" s="21" t="str">
        <f t="shared" si="236"/>
        <v/>
      </c>
      <c r="J302" s="101"/>
      <c r="K302" s="102">
        <v>103145</v>
      </c>
      <c r="L302" s="102">
        <v>99695</v>
      </c>
      <c r="M302" s="102">
        <f>100845+1200</f>
        <v>102045</v>
      </c>
      <c r="N302" s="102">
        <f>101995+1200</f>
        <v>103195</v>
      </c>
      <c r="O302" s="102">
        <f>103145+1100</f>
        <v>104245</v>
      </c>
      <c r="P302" s="103">
        <v>2.17</v>
      </c>
      <c r="Q302" s="104">
        <v>200</v>
      </c>
      <c r="R302" s="240">
        <v>250</v>
      </c>
      <c r="S302" s="240">
        <v>125</v>
      </c>
      <c r="T302" s="101"/>
      <c r="U302" s="105">
        <v>200</v>
      </c>
      <c r="V302" s="105">
        <v>100</v>
      </c>
      <c r="W302" s="108" t="s">
        <v>243</v>
      </c>
      <c r="X302" s="108" t="s">
        <v>249</v>
      </c>
    </row>
    <row r="303" spans="1:25" x14ac:dyDescent="0.25">
      <c r="A303" s="99">
        <v>78400</v>
      </c>
      <c r="B303" s="100" t="s">
        <v>247</v>
      </c>
      <c r="C303" s="20"/>
      <c r="D303" s="21" t="str">
        <f t="shared" si="252"/>
        <v/>
      </c>
      <c r="E303" s="21" t="str">
        <f t="shared" si="235"/>
        <v/>
      </c>
      <c r="F303" s="21" t="str">
        <f t="shared" si="249"/>
        <v/>
      </c>
      <c r="G303" s="21" t="str">
        <f t="shared" si="250"/>
        <v/>
      </c>
      <c r="H303" s="21" t="str">
        <f t="shared" si="251"/>
        <v/>
      </c>
      <c r="I303" s="21" t="str">
        <f t="shared" si="236"/>
        <v/>
      </c>
      <c r="J303" s="101"/>
      <c r="K303" s="102">
        <v>84880</v>
      </c>
      <c r="L303" s="102">
        <v>84009</v>
      </c>
      <c r="M303" s="102">
        <f>84299+1200</f>
        <v>85499</v>
      </c>
      <c r="N303" s="102">
        <f>84589+1200</f>
        <v>85789</v>
      </c>
      <c r="O303" s="102">
        <f>84880+1100</f>
        <v>85980</v>
      </c>
      <c r="P303" s="103">
        <v>2.17</v>
      </c>
      <c r="Q303" s="104">
        <v>200</v>
      </c>
      <c r="R303" s="240">
        <v>250</v>
      </c>
      <c r="S303" s="240">
        <v>125</v>
      </c>
      <c r="T303" s="101"/>
      <c r="U303" s="105">
        <v>500</v>
      </c>
      <c r="V303" s="105">
        <v>100</v>
      </c>
      <c r="W303" s="108" t="s">
        <v>427</v>
      </c>
      <c r="X303" s="106" t="s">
        <v>435</v>
      </c>
      <c r="Y303" s="206"/>
    </row>
    <row r="304" spans="1:25" x14ac:dyDescent="0.25">
      <c r="A304" s="99">
        <v>78900</v>
      </c>
      <c r="B304" s="111" t="s">
        <v>492</v>
      </c>
      <c r="C304" s="20"/>
      <c r="D304" s="21" t="str">
        <f t="shared" si="252"/>
        <v/>
      </c>
      <c r="E304" s="21" t="str">
        <f t="shared" si="235"/>
        <v/>
      </c>
      <c r="F304" s="21" t="str">
        <f t="shared" si="249"/>
        <v/>
      </c>
      <c r="G304" s="21" t="str">
        <f t="shared" si="250"/>
        <v/>
      </c>
      <c r="H304" s="21" t="str">
        <f t="shared" si="251"/>
        <v/>
      </c>
      <c r="I304" s="21" t="str">
        <f t="shared" si="236"/>
        <v/>
      </c>
      <c r="J304" s="101"/>
      <c r="K304" s="102">
        <f>85380</f>
        <v>85380</v>
      </c>
      <c r="L304" s="102">
        <f>84509</f>
        <v>84509</v>
      </c>
      <c r="M304" s="102">
        <f>84800+1200</f>
        <v>86000</v>
      </c>
      <c r="N304" s="102">
        <f>85090+1200</f>
        <v>86290</v>
      </c>
      <c r="O304" s="102">
        <f>85380+1100</f>
        <v>86480</v>
      </c>
      <c r="P304" s="103">
        <v>2.17</v>
      </c>
      <c r="Q304" s="104">
        <v>200</v>
      </c>
      <c r="R304" s="240">
        <v>250</v>
      </c>
      <c r="S304" s="240">
        <v>125</v>
      </c>
      <c r="T304" s="101"/>
      <c r="U304" s="105">
        <v>500</v>
      </c>
      <c r="V304" s="105">
        <v>100</v>
      </c>
      <c r="W304" s="108" t="s">
        <v>493</v>
      </c>
      <c r="X304" s="106" t="s">
        <v>494</v>
      </c>
      <c r="Y304" s="206"/>
    </row>
    <row r="305" spans="1:24" x14ac:dyDescent="0.25">
      <c r="A305" s="99">
        <v>56900</v>
      </c>
      <c r="B305" s="107" t="s">
        <v>571</v>
      </c>
      <c r="C305" s="20"/>
      <c r="D305" s="21" t="str">
        <f t="shared" si="252"/>
        <v/>
      </c>
      <c r="E305" s="21" t="str">
        <f t="shared" si="235"/>
        <v/>
      </c>
      <c r="F305" s="21" t="str">
        <f t="shared" si="249"/>
        <v/>
      </c>
      <c r="G305" s="21" t="str">
        <f t="shared" si="250"/>
        <v/>
      </c>
      <c r="H305" s="21" t="str">
        <f t="shared" si="251"/>
        <v/>
      </c>
      <c r="I305" s="21" t="str">
        <f t="shared" si="236"/>
        <v/>
      </c>
      <c r="J305" s="101"/>
      <c r="K305" s="102">
        <v>63833</v>
      </c>
      <c r="L305" s="102">
        <v>62686</v>
      </c>
      <c r="M305" s="102">
        <f>63068+1200</f>
        <v>64268</v>
      </c>
      <c r="N305" s="102">
        <f>63451+1200</f>
        <v>64651</v>
      </c>
      <c r="O305" s="102">
        <f>63833+1100</f>
        <v>64933</v>
      </c>
      <c r="P305" s="103">
        <v>2.17</v>
      </c>
      <c r="Q305" s="104">
        <v>200</v>
      </c>
      <c r="R305" s="240">
        <v>250</v>
      </c>
      <c r="S305" s="240">
        <v>125</v>
      </c>
      <c r="T305" s="101"/>
      <c r="U305" s="105">
        <v>200</v>
      </c>
      <c r="V305" s="105">
        <v>100</v>
      </c>
      <c r="W305" s="108" t="s">
        <v>572</v>
      </c>
      <c r="X305" s="108" t="s">
        <v>573</v>
      </c>
    </row>
    <row r="306" spans="1:24" x14ac:dyDescent="0.25">
      <c r="A306" s="99">
        <v>123900</v>
      </c>
      <c r="B306" s="107" t="s">
        <v>550</v>
      </c>
      <c r="C306" s="20">
        <v>50000</v>
      </c>
      <c r="D306" s="21">
        <f t="shared" ref="D306" si="253">IF(C306&gt;=1,(K306-C306)*(1+P306*$D$4/100)/$D$4+Q306+R306,"")</f>
        <v>15247.331866666666</v>
      </c>
      <c r="E306" s="21">
        <f t="shared" ref="E306" si="254">IF(C306&gt;=1,(K306-C306)*(1+P306*$E$4/100)/$E$4+Q306+S306,"")</f>
        <v>8575.9985333333334</v>
      </c>
      <c r="F306" s="21">
        <f t="shared" ref="F306" si="255">IF(C306&gt;=1,(K306-C306)*(1+$P306*$F$4/100)/$F$4+Q306+S306, "")</f>
        <v>6393.8874222222221</v>
      </c>
      <c r="G306" s="21">
        <f t="shared" ref="G306" si="256">IF(C306&gt;=1, (K306-C306)*(1+$P306*$G$4/100)/$G$4+Q306+S306,"")</f>
        <v>5302.8318666666664</v>
      </c>
      <c r="H306" s="21">
        <f t="shared" ref="H306" si="257">IF(C306&gt;=1, (K306-C306)*(1+$P306*$H$4/100)/$H$4+Q306+S306, "")</f>
        <v>4648.1985333333332</v>
      </c>
      <c r="I306" s="21">
        <f t="shared" ref="I306" si="258">IF(C306&gt;=1, (K306-C306)*(1+$P306*$I$4/100)/$I$4+Q306+S306, "")</f>
        <v>4211.7763111111108</v>
      </c>
      <c r="J306" s="101"/>
      <c r="K306" s="102">
        <f>128556</f>
        <v>128556</v>
      </c>
      <c r="L306" s="102">
        <f>125239</f>
        <v>125239</v>
      </c>
      <c r="M306" s="102">
        <f>126344+1200</f>
        <v>127544</v>
      </c>
      <c r="N306" s="102">
        <f>127450+1200</f>
        <v>128650</v>
      </c>
      <c r="O306" s="102">
        <f>128556+1100</f>
        <v>129656</v>
      </c>
      <c r="P306" s="103">
        <v>2.17</v>
      </c>
      <c r="Q306" s="104">
        <v>200</v>
      </c>
      <c r="R306" s="240">
        <v>250</v>
      </c>
      <c r="S306" s="240">
        <v>125</v>
      </c>
      <c r="T306" s="101"/>
      <c r="U306" s="105">
        <v>350</v>
      </c>
      <c r="V306" s="105">
        <v>100</v>
      </c>
      <c r="W306" s="108" t="s">
        <v>702</v>
      </c>
      <c r="X306" s="108" t="s">
        <v>704</v>
      </c>
    </row>
    <row r="307" spans="1:24" x14ac:dyDescent="0.25">
      <c r="A307" s="99">
        <v>129900</v>
      </c>
      <c r="B307" s="107" t="s">
        <v>551</v>
      </c>
      <c r="C307" s="20">
        <v>50000</v>
      </c>
      <c r="D307" s="21">
        <f t="shared" ref="D307" si="259">IF(C307&gt;=1,(K307-C307)*(1+P307*$D$4/100)/$D$4+Q307+R307,"")</f>
        <v>16339.105066666665</v>
      </c>
      <c r="E307" s="21">
        <f t="shared" ref="E307" si="260">IF(C307&gt;=1,(K307-C307)*(1+P307*$E$4/100)/$E$4+Q307+S307,"")</f>
        <v>9184.771733333333</v>
      </c>
      <c r="F307" s="21">
        <f t="shared" ref="F307" si="261">IF(C307&gt;=1,(K307-C307)*(1+$P307*$F$4/100)/$F$4+Q307+S307, "")</f>
        <v>6841.6606222222217</v>
      </c>
      <c r="G307" s="21">
        <f t="shared" ref="G307" si="262">IF(C307&gt;=1, (K307-C307)*(1+$P307*$G$4/100)/$G$4+Q307+S307,"")</f>
        <v>5670.1050666666661</v>
      </c>
      <c r="H307" s="21">
        <f t="shared" ref="H307" si="263">IF(C307&gt;=1, (K307-C307)*(1+$P307*$H$4/100)/$H$4+Q307+S307, "")</f>
        <v>4967.1717333333327</v>
      </c>
      <c r="I307" s="21">
        <f t="shared" ref="I307" si="264">IF(C307&gt;=1, (K307-C307)*(1+$P307*$I$4/100)/$I$4+Q307+S307, "")</f>
        <v>4498.5495111111113</v>
      </c>
      <c r="J307" s="101"/>
      <c r="K307" s="102">
        <f>134352</f>
        <v>134352</v>
      </c>
      <c r="L307" s="102">
        <f>130870</f>
        <v>130870</v>
      </c>
      <c r="M307" s="102">
        <f>132030+1200</f>
        <v>133230</v>
      </c>
      <c r="N307" s="102">
        <f>133191+1200</f>
        <v>134391</v>
      </c>
      <c r="O307" s="102">
        <f>134352+1100</f>
        <v>135452</v>
      </c>
      <c r="P307" s="103">
        <v>2.17</v>
      </c>
      <c r="Q307" s="104">
        <v>200</v>
      </c>
      <c r="R307" s="240">
        <v>250</v>
      </c>
      <c r="S307" s="240">
        <v>125</v>
      </c>
      <c r="T307" s="101"/>
      <c r="U307" s="105">
        <v>350</v>
      </c>
      <c r="V307" s="105">
        <v>100</v>
      </c>
      <c r="W307" s="108" t="s">
        <v>702</v>
      </c>
      <c r="X307" s="108" t="s">
        <v>705</v>
      </c>
    </row>
    <row r="308" spans="1:24" x14ac:dyDescent="0.25">
      <c r="A308" s="99">
        <v>131900</v>
      </c>
      <c r="B308" s="107" t="s">
        <v>552</v>
      </c>
      <c r="C308" s="20">
        <v>50000</v>
      </c>
      <c r="D308" s="21">
        <f t="shared" ref="D308" si="265">IF(C308&gt;=1,(K308-C308)*(1+P308*$D$4/100)/$D$4+Q308+R308,"")</f>
        <v>16703.029466666667</v>
      </c>
      <c r="E308" s="21">
        <f t="shared" ref="E308" si="266">IF(C308&gt;=1,(K308-C308)*(1+P308*$E$4/100)/$E$4+Q308+S308,"")</f>
        <v>9387.6961333333329</v>
      </c>
      <c r="F308" s="21">
        <f t="shared" ref="F308" si="267">IF(C308&gt;=1,(K308-C308)*(1+$P308*$F$4/100)/$F$4+Q308+S308, "")</f>
        <v>6990.9183555555555</v>
      </c>
      <c r="G308" s="21">
        <f t="shared" ref="G308" si="268">IF(C308&gt;=1, (K308-C308)*(1+$P308*$G$4/100)/$G$4+Q308+S308,"")</f>
        <v>5792.5294666666668</v>
      </c>
      <c r="H308" s="21">
        <f t="shared" ref="H308" si="269">IF(C308&gt;=1, (K308-C308)*(1+$P308*$H$4/100)/$H$4+Q308+S308, "")</f>
        <v>5073.4961333333331</v>
      </c>
      <c r="I308" s="21">
        <f t="shared" ref="I308" si="270">IF(C308&gt;=1, (K308-C308)*(1+$P308*$I$4/100)/$I$4+Q308+S308, "")</f>
        <v>4594.1405777777782</v>
      </c>
      <c r="J308" s="101"/>
      <c r="K308" s="102">
        <f>136284</f>
        <v>136284</v>
      </c>
      <c r="L308" s="102">
        <f>132746</f>
        <v>132746</v>
      </c>
      <c r="M308" s="102">
        <f>133925+1200</f>
        <v>135125</v>
      </c>
      <c r="N308" s="102">
        <f>135104+1200</f>
        <v>136304</v>
      </c>
      <c r="O308" s="102">
        <f>136284+1100</f>
        <v>137384</v>
      </c>
      <c r="P308" s="103">
        <v>2.17</v>
      </c>
      <c r="Q308" s="104">
        <v>200</v>
      </c>
      <c r="R308" s="240">
        <v>250</v>
      </c>
      <c r="S308" s="240">
        <v>125</v>
      </c>
      <c r="T308" s="101"/>
      <c r="U308" s="105">
        <v>350</v>
      </c>
      <c r="V308" s="105">
        <v>100</v>
      </c>
      <c r="W308" s="108" t="s">
        <v>702</v>
      </c>
      <c r="X308" s="108" t="s">
        <v>706</v>
      </c>
    </row>
    <row r="309" spans="1:24" x14ac:dyDescent="0.25">
      <c r="A309" s="99">
        <v>94900</v>
      </c>
      <c r="B309" s="107" t="s">
        <v>145</v>
      </c>
      <c r="C309" s="20"/>
      <c r="D309" s="21" t="str">
        <f t="shared" si="252"/>
        <v/>
      </c>
      <c r="E309" s="21" t="str">
        <f t="shared" si="235"/>
        <v/>
      </c>
      <c r="F309" s="21" t="str">
        <f t="shared" si="249"/>
        <v/>
      </c>
      <c r="G309" s="21" t="str">
        <f t="shared" si="250"/>
        <v/>
      </c>
      <c r="H309" s="21" t="str">
        <f t="shared" si="251"/>
        <v/>
      </c>
      <c r="I309" s="21" t="str">
        <f t="shared" si="236"/>
        <v/>
      </c>
      <c r="J309" s="101"/>
      <c r="K309" s="102">
        <v>98132</v>
      </c>
      <c r="L309" s="102">
        <v>96916</v>
      </c>
      <c r="M309" s="102">
        <f>97321+1200</f>
        <v>98521</v>
      </c>
      <c r="N309" s="102">
        <f>97726+1200</f>
        <v>98926</v>
      </c>
      <c r="O309" s="102">
        <f>98132+1100</f>
        <v>99232</v>
      </c>
      <c r="P309" s="103">
        <v>2.17</v>
      </c>
      <c r="Q309" s="104">
        <v>200</v>
      </c>
      <c r="R309" s="240">
        <v>250</v>
      </c>
      <c r="S309" s="240">
        <v>125</v>
      </c>
      <c r="T309" s="101"/>
      <c r="U309" s="105">
        <v>200</v>
      </c>
      <c r="V309" s="105">
        <v>100</v>
      </c>
      <c r="W309" s="108" t="s">
        <v>427</v>
      </c>
      <c r="X309" s="108" t="s">
        <v>431</v>
      </c>
    </row>
    <row r="310" spans="1:24" x14ac:dyDescent="0.25">
      <c r="A310" s="99">
        <v>96900</v>
      </c>
      <c r="B310" s="107" t="s">
        <v>421</v>
      </c>
      <c r="C310" s="20"/>
      <c r="D310" s="21" t="str">
        <f t="shared" si="252"/>
        <v/>
      </c>
      <c r="E310" s="21" t="str">
        <f t="shared" si="235"/>
        <v/>
      </c>
      <c r="F310" s="21" t="str">
        <f t="shared" si="249"/>
        <v/>
      </c>
      <c r="G310" s="21" t="str">
        <f t="shared" si="250"/>
        <v/>
      </c>
      <c r="H310" s="21" t="str">
        <f t="shared" si="251"/>
        <v/>
      </c>
      <c r="I310" s="21" t="str">
        <f t="shared" si="236"/>
        <v/>
      </c>
      <c r="J310" s="101"/>
      <c r="K310" s="102">
        <v>100132</v>
      </c>
      <c r="L310" s="102">
        <v>98916</v>
      </c>
      <c r="M310" s="102">
        <f>99321+1200</f>
        <v>100521</v>
      </c>
      <c r="N310" s="102">
        <f>99726+1200</f>
        <v>100926</v>
      </c>
      <c r="O310" s="102">
        <f>100132+1100</f>
        <v>101232</v>
      </c>
      <c r="P310" s="103">
        <v>2.17</v>
      </c>
      <c r="Q310" s="104">
        <v>200</v>
      </c>
      <c r="R310" s="240">
        <v>250</v>
      </c>
      <c r="S310" s="240">
        <v>125</v>
      </c>
      <c r="T310" s="101"/>
      <c r="U310" s="105">
        <v>200</v>
      </c>
      <c r="V310" s="105">
        <v>100</v>
      </c>
      <c r="W310" s="108" t="s">
        <v>427</v>
      </c>
      <c r="X310" s="108" t="s">
        <v>436</v>
      </c>
    </row>
    <row r="311" spans="1:24" x14ac:dyDescent="0.25">
      <c r="A311" s="99">
        <v>97900</v>
      </c>
      <c r="B311" s="107" t="s">
        <v>658</v>
      </c>
      <c r="C311" s="20">
        <v>30000</v>
      </c>
      <c r="D311" s="21">
        <f t="shared" ref="D311" si="271">IF(C311&gt;=1,(K311-C311)*(1+P311*$D$4/100)/$D$4+Q311+R311,"")</f>
        <v>13848.897733333331</v>
      </c>
      <c r="E311" s="21">
        <f t="shared" ref="E311" si="272">IF(C311&gt;=1,(K311-C311)*(1+P311*$E$4/100)/$E$4+Q311+S311,"")</f>
        <v>7796.2310666666663</v>
      </c>
      <c r="F311" s="21">
        <f t="shared" ref="F311" si="273">IF(C311&gt;=1,(K311-C311)*(1+$P311*$F$4/100)/$F$4+Q311+S311, "")</f>
        <v>5820.3421777777785</v>
      </c>
      <c r="G311" s="21">
        <f t="shared" ref="G311" si="274">IF(C311&gt;=1, (K311-C311)*(1+$P311*$G$4/100)/$G$4+Q311+S311,"")</f>
        <v>4832.3977333333332</v>
      </c>
      <c r="H311" s="21">
        <f t="shared" ref="H311" si="275">IF(C311&gt;=1, (K311-C311)*(1+$P311*$H$4/100)/$H$4+Q311+S311, "")</f>
        <v>4239.6310666666668</v>
      </c>
      <c r="I311" s="21">
        <f t="shared" ref="I311" si="276">IF(C311&gt;=1, (K311-C311)*(1+$P311*$I$4/100)/$I$4+Q311+S311, "")</f>
        <v>3844.4532888888889</v>
      </c>
      <c r="J311" s="101"/>
      <c r="K311" s="102">
        <f>101132</f>
        <v>101132</v>
      </c>
      <c r="L311" s="102">
        <f>99916</f>
        <v>99916</v>
      </c>
      <c r="M311" s="102">
        <f>100321+1200</f>
        <v>101521</v>
      </c>
      <c r="N311" s="102">
        <f>100726+1200</f>
        <v>101926</v>
      </c>
      <c r="O311" s="102">
        <f>101132+1100</f>
        <v>102232</v>
      </c>
      <c r="P311" s="103">
        <v>2.17</v>
      </c>
      <c r="Q311" s="104">
        <v>200</v>
      </c>
      <c r="R311" s="240">
        <v>250</v>
      </c>
      <c r="S311" s="240">
        <v>125</v>
      </c>
      <c r="T311" s="101"/>
      <c r="U311" s="105">
        <v>200</v>
      </c>
      <c r="V311" s="105">
        <v>100</v>
      </c>
      <c r="W311" s="108" t="s">
        <v>656</v>
      </c>
      <c r="X311" s="108" t="s">
        <v>657</v>
      </c>
    </row>
    <row r="312" spans="1:24" x14ac:dyDescent="0.25">
      <c r="A312" s="99">
        <v>144400</v>
      </c>
      <c r="B312" s="100" t="s">
        <v>23</v>
      </c>
      <c r="C312" s="20"/>
      <c r="D312" s="21" t="str">
        <f t="shared" si="252"/>
        <v/>
      </c>
      <c r="E312" s="21" t="str">
        <f t="shared" si="235"/>
        <v/>
      </c>
      <c r="F312" s="21" t="str">
        <f t="shared" si="249"/>
        <v/>
      </c>
      <c r="G312" s="21" t="str">
        <f t="shared" si="250"/>
        <v/>
      </c>
      <c r="H312" s="21" t="str">
        <f t="shared" si="251"/>
        <v/>
      </c>
      <c r="I312" s="21" t="str">
        <f t="shared" si="236"/>
        <v/>
      </c>
      <c r="J312" s="101"/>
      <c r="K312" s="102">
        <v>151780</v>
      </c>
      <c r="L312" s="102">
        <v>143280</v>
      </c>
      <c r="M312" s="102">
        <f>147073+240</f>
        <v>147313</v>
      </c>
      <c r="N312" s="102">
        <f>149906+240</f>
        <v>150146</v>
      </c>
      <c r="O312" s="102">
        <f>152640+240</f>
        <v>152880</v>
      </c>
      <c r="P312" s="103">
        <v>2.17</v>
      </c>
      <c r="Q312" s="104"/>
      <c r="R312" s="240">
        <v>250</v>
      </c>
      <c r="S312" s="240">
        <v>125</v>
      </c>
      <c r="T312" s="101"/>
      <c r="U312" s="105">
        <v>200</v>
      </c>
      <c r="V312" s="105">
        <v>100</v>
      </c>
      <c r="W312" s="106"/>
      <c r="X312" s="106"/>
    </row>
    <row r="313" spans="1:24" x14ac:dyDescent="0.25">
      <c r="A313" s="105"/>
      <c r="B313" s="101"/>
      <c r="C313" s="194"/>
      <c r="D313" s="195"/>
      <c r="E313" s="195"/>
      <c r="F313" s="195"/>
      <c r="G313" s="195"/>
      <c r="H313" s="195"/>
      <c r="I313" s="195"/>
      <c r="J313" s="101"/>
      <c r="K313" s="104"/>
      <c r="L313" s="104"/>
      <c r="M313" s="104"/>
      <c r="N313" s="104"/>
      <c r="O313" s="104"/>
      <c r="P313" s="103"/>
      <c r="Q313" s="104"/>
      <c r="R313" s="104"/>
      <c r="S313" s="104"/>
      <c r="T313" s="101"/>
      <c r="U313" s="105"/>
      <c r="V313" s="105"/>
      <c r="W313" s="108"/>
      <c r="X313" s="108"/>
    </row>
    <row r="314" spans="1:24" ht="14.25" x14ac:dyDescent="0.25">
      <c r="A314" s="131"/>
      <c r="C314" s="9"/>
      <c r="D314" s="9"/>
      <c r="E314" s="7" t="str">
        <f>IF(C314&gt;=1,(K314-C314)*(1+P314*$E$4/100)/$E$4+Q314,"")</f>
        <v/>
      </c>
      <c r="F314" s="3"/>
      <c r="G314" s="3"/>
      <c r="H314" s="3"/>
      <c r="I314" s="3"/>
      <c r="J314" s="4"/>
      <c r="K314" s="3"/>
      <c r="L314" s="3"/>
      <c r="M314" s="3"/>
      <c r="N314" s="3"/>
      <c r="O314" s="3"/>
      <c r="P314" s="69"/>
      <c r="Q314" s="2"/>
      <c r="R314" s="2"/>
      <c r="S314" s="2"/>
      <c r="T314" s="4"/>
      <c r="U314" s="2"/>
      <c r="V314" s="2"/>
      <c r="W314" s="70"/>
      <c r="X314" s="70"/>
    </row>
    <row r="315" spans="1:24" ht="12" customHeight="1" x14ac:dyDescent="0.25">
      <c r="A315" s="132"/>
      <c r="B315" s="133" t="s">
        <v>40</v>
      </c>
      <c r="C315" s="10"/>
      <c r="D315" s="24" t="str">
        <f>IF(C315&gt;=1,(K315-C315)*(1+P315*$D$4/100)/$D$4+Q315,"")</f>
        <v/>
      </c>
      <c r="E315" s="12" t="str">
        <f>IF(C315&gt;=1,(K315-C315)*(1+P315*$E$4/100)/$E$4+Q315,"")</f>
        <v/>
      </c>
      <c r="F315" s="11"/>
      <c r="G315" s="11"/>
      <c r="H315" s="11"/>
      <c r="I315" s="11"/>
      <c r="J315" s="134"/>
      <c r="K315" s="135"/>
      <c r="L315" s="135"/>
      <c r="M315" s="135"/>
      <c r="N315" s="135"/>
      <c r="O315" s="135"/>
      <c r="P315" s="136"/>
      <c r="Q315" s="137"/>
      <c r="R315" s="137"/>
      <c r="S315" s="137"/>
      <c r="T315" s="134"/>
      <c r="U315" s="137"/>
      <c r="V315" s="137"/>
      <c r="W315" s="138"/>
      <c r="X315" s="138"/>
    </row>
    <row r="316" spans="1:24" ht="13.5" customHeight="1" x14ac:dyDescent="0.25">
      <c r="A316" s="139"/>
      <c r="B316" s="140" t="s">
        <v>95</v>
      </c>
      <c r="C316" s="25">
        <v>1</v>
      </c>
      <c r="D316" s="26">
        <f>IF(C316&gt;=1,(K316-C316)*(1+P316*$D$4/100)/$D$4+Q316+R316,"")</f>
        <v>13283.141666666665</v>
      </c>
      <c r="E316" s="26">
        <f>IF(C316&gt;=1,(K316-C316)*(1+P316*$E$4/100)/$E$4+Q316+S316,"")</f>
        <v>7491.5583333333334</v>
      </c>
      <c r="F316" s="26">
        <f>IF(C316&gt;=1,(K316-C316)*(1+$P316*$F$4/100)/$F$4+Q316+S316, "")</f>
        <v>5602.6972222222221</v>
      </c>
      <c r="G316" s="26">
        <f>IF(C316&gt;=1, (K316-C316)*(1+$P316*$G$4/100)/$G$4+Q316+S316,"")</f>
        <v>4658.2666666666673</v>
      </c>
      <c r="H316" s="26">
        <f>IF(C316&gt;=1, (K316-C316)*(1+$P316*$H$4/100)/$H$4+Q316+S316, "")</f>
        <v>4091.6083333333331</v>
      </c>
      <c r="I316" s="26">
        <f>IF(C316&gt;=1, (K316-C316)*(1+$P316*$I$4/100)/$I$4+Q316+S316, "")</f>
        <v>3713.8361111111108</v>
      </c>
      <c r="J316" s="141"/>
      <c r="K316" s="142">
        <v>68000</v>
      </c>
      <c r="L316" s="142">
        <v>65000</v>
      </c>
      <c r="M316" s="142">
        <f>66900+60</f>
        <v>66960</v>
      </c>
      <c r="N316" s="142">
        <f>67900+60</f>
        <v>67960</v>
      </c>
      <c r="O316" s="142">
        <f>68800+60</f>
        <v>68860</v>
      </c>
      <c r="P316" s="143">
        <v>2.5</v>
      </c>
      <c r="Q316" s="144"/>
      <c r="R316" s="241">
        <v>250</v>
      </c>
      <c r="S316" s="241">
        <v>125</v>
      </c>
      <c r="T316" s="141"/>
      <c r="U316" s="144">
        <v>500</v>
      </c>
      <c r="V316" s="144">
        <v>100</v>
      </c>
      <c r="W316" s="145"/>
      <c r="X316" s="145"/>
    </row>
    <row r="317" spans="1:24" x14ac:dyDescent="0.25">
      <c r="A317" s="139"/>
      <c r="B317" s="140" t="s">
        <v>96</v>
      </c>
      <c r="C317" s="25">
        <v>1</v>
      </c>
      <c r="D317" s="26">
        <f>IF(C317&gt;=1,(K317-C317)*(1+P317*$D$4/100)/$D$4+Q317+R317,"")</f>
        <v>22630.476999999999</v>
      </c>
      <c r="E317" s="26">
        <f>IF(C317&gt;=1,(K317-C317)*(1+P317*$E$4/100)/$E$4+Q317+S317,"")</f>
        <v>12672.227000000001</v>
      </c>
      <c r="F317" s="26">
        <f>IF(C317&gt;=1,(K317-C317)*(1+$P317*$F$4/100)/$F$4+Q317+S317, "")</f>
        <v>9394.476999999999</v>
      </c>
      <c r="G317" s="26">
        <f>IF(C317&gt;=1, (K317-C317)*(1+$P317*$G$4/100)/$G$4+Q317+S317,"")</f>
        <v>7755.6019999999999</v>
      </c>
      <c r="H317" s="26">
        <f>IF(C317&gt;=1, (K317-C317)*(1+$P317*$H$4/100)/$H$4+Q317+S317, "")</f>
        <v>6772.277</v>
      </c>
      <c r="I317" s="26">
        <f>IF(C317&gt;=1, (K317-C317)*(1+$P317*$I$4/100)/$I$4+Q317+S317, "")</f>
        <v>6116.7269999999999</v>
      </c>
      <c r="J317" s="141"/>
      <c r="K317" s="142">
        <v>118000</v>
      </c>
      <c r="L317" s="142">
        <v>106200</v>
      </c>
      <c r="M317" s="142">
        <v>111093</v>
      </c>
      <c r="N317" s="142">
        <v>115026</v>
      </c>
      <c r="O317" s="142">
        <v>118860</v>
      </c>
      <c r="P317" s="143">
        <v>2.2999999999999998</v>
      </c>
      <c r="Q317" s="144"/>
      <c r="R317" s="241">
        <v>250</v>
      </c>
      <c r="S317" s="241">
        <v>125</v>
      </c>
      <c r="T317" s="141"/>
      <c r="U317" s="144">
        <v>250</v>
      </c>
      <c r="V317" s="144">
        <v>100</v>
      </c>
      <c r="W317" s="145"/>
      <c r="X317" s="145"/>
    </row>
    <row r="318" spans="1:24" x14ac:dyDescent="0.25">
      <c r="A318" s="3"/>
      <c r="C318" s="5"/>
      <c r="D318" s="3"/>
      <c r="E318" s="3"/>
      <c r="F318" s="3"/>
      <c r="G318" s="3"/>
      <c r="H318" s="3"/>
      <c r="I318" s="3"/>
      <c r="M318" s="3"/>
      <c r="N318" s="3"/>
      <c r="O318" s="3"/>
      <c r="Q318" s="2"/>
      <c r="R318" s="2"/>
      <c r="S318" s="2"/>
      <c r="U318" s="2"/>
      <c r="V318" s="2"/>
      <c r="W318" s="70"/>
      <c r="X318" s="70"/>
    </row>
    <row r="319" spans="1:24" x14ac:dyDescent="0.25">
      <c r="A319" s="3"/>
      <c r="C319" s="146" t="s">
        <v>41</v>
      </c>
      <c r="D319" s="203">
        <v>6</v>
      </c>
      <c r="E319" s="204">
        <v>12</v>
      </c>
      <c r="F319" s="204">
        <v>18</v>
      </c>
      <c r="G319" s="204">
        <v>24</v>
      </c>
      <c r="H319" s="204">
        <v>30</v>
      </c>
      <c r="I319" s="204">
        <v>36</v>
      </c>
      <c r="J319" s="4"/>
      <c r="P319" s="4"/>
      <c r="Q319" s="2"/>
      <c r="R319" s="2"/>
      <c r="S319" s="2"/>
    </row>
    <row r="320" spans="1:24" x14ac:dyDescent="0.25">
      <c r="C320" s="148">
        <v>2.17</v>
      </c>
      <c r="D320" s="229">
        <f>1+C320*$D$319/100</f>
        <v>1.1301999999999999</v>
      </c>
      <c r="E320" s="229">
        <f>1+C320*$E$319/100</f>
        <v>1.2604</v>
      </c>
      <c r="F320" s="229">
        <f>1+C320*$F$319/100</f>
        <v>1.3906000000000001</v>
      </c>
      <c r="G320" s="229">
        <f>1+C320*$G$319/100</f>
        <v>1.5207999999999999</v>
      </c>
      <c r="H320" s="229">
        <f>1+C320*$H$319/100</f>
        <v>1.6509999999999998</v>
      </c>
      <c r="I320" s="229">
        <f>1+C320*$I$319/100</f>
        <v>1.7812000000000001</v>
      </c>
      <c r="J320" s="4"/>
      <c r="P320" s="4"/>
      <c r="Q320" s="2"/>
      <c r="R320" s="2"/>
      <c r="S320" s="2"/>
    </row>
    <row r="321" spans="3:24" x14ac:dyDescent="0.25">
      <c r="C321" s="148">
        <v>2.2999999999999998</v>
      </c>
      <c r="D321" s="229">
        <f>1+C321*$D$319/100</f>
        <v>1.1379999999999999</v>
      </c>
      <c r="E321" s="229">
        <f>1+C321*$E$319/100</f>
        <v>1.276</v>
      </c>
      <c r="F321" s="229">
        <f>1+C321*$F$319/100</f>
        <v>1.4139999999999999</v>
      </c>
      <c r="G321" s="229">
        <f>1+C321*$G$319/100</f>
        <v>1.552</v>
      </c>
      <c r="H321" s="229">
        <f>1+C321*$H$319/100</f>
        <v>1.69</v>
      </c>
      <c r="I321" s="229">
        <f>1+C321*$I$319/100</f>
        <v>1.8279999999999998</v>
      </c>
      <c r="J321" s="4"/>
      <c r="P321" s="4"/>
      <c r="Q321" s="2"/>
      <c r="R321" s="2"/>
      <c r="S321" s="2"/>
    </row>
    <row r="322" spans="3:24" x14ac:dyDescent="0.25">
      <c r="C322" s="148">
        <v>2.5</v>
      </c>
      <c r="D322" s="229">
        <f>1+C322*$D$319/100</f>
        <v>1.1499999999999999</v>
      </c>
      <c r="E322" s="229">
        <f>1+C322*$E$319/100</f>
        <v>1.3</v>
      </c>
      <c r="F322" s="229">
        <f>1+C322*$F$319/100</f>
        <v>1.45</v>
      </c>
      <c r="G322" s="229">
        <f>1+C322*$G$319/100</f>
        <v>1.6</v>
      </c>
      <c r="H322" s="229">
        <f>1+C322*$H$319/100</f>
        <v>1.75</v>
      </c>
      <c r="I322" s="229">
        <f>1+C322*$I$319/100</f>
        <v>1.9</v>
      </c>
      <c r="J322" s="4"/>
      <c r="P322" s="4"/>
      <c r="Q322" s="2"/>
      <c r="R322" s="2"/>
      <c r="S322" s="2"/>
    </row>
    <row r="323" spans="3:24" x14ac:dyDescent="0.25">
      <c r="C323" s="148">
        <v>3</v>
      </c>
      <c r="D323" s="229">
        <f>1+C323*$D$319/100</f>
        <v>1.18</v>
      </c>
      <c r="E323" s="229">
        <f>1+C323*$E$319/100</f>
        <v>1.3599999999999999</v>
      </c>
      <c r="F323" s="229">
        <f>1+C323*$F$319/100</f>
        <v>1.54</v>
      </c>
      <c r="G323" s="229">
        <f>1+C323*$G$319/100</f>
        <v>1.72</v>
      </c>
      <c r="H323" s="229">
        <f>1+C323*$H$319/100</f>
        <v>1.9</v>
      </c>
      <c r="I323" s="229">
        <f>1+C323*$I$319/100</f>
        <v>2.08</v>
      </c>
      <c r="J323" s="4"/>
      <c r="P323" s="4"/>
      <c r="Q323" s="2"/>
      <c r="R323" s="2"/>
      <c r="S323" s="2"/>
    </row>
    <row r="324" spans="3:24" x14ac:dyDescent="0.25">
      <c r="C324" s="148">
        <v>3.25</v>
      </c>
      <c r="D324" s="229">
        <f>1+C324*$D$319/100</f>
        <v>1.1950000000000001</v>
      </c>
      <c r="E324" s="229">
        <f>1+C324*$E$319/100</f>
        <v>1.3900000000000001</v>
      </c>
      <c r="F324" s="229">
        <f>1+C324*$F$319/100</f>
        <v>1.585</v>
      </c>
      <c r="G324" s="229">
        <f>1+C324*$G$319/100</f>
        <v>1.78</v>
      </c>
      <c r="H324" s="229">
        <f>1+C324*$H$319/100</f>
        <v>1.9750000000000001</v>
      </c>
      <c r="I324" s="229">
        <f>1+C324*$I$319/100</f>
        <v>2.17</v>
      </c>
      <c r="J324" s="4"/>
      <c r="P324" s="4"/>
      <c r="Q324" s="2"/>
      <c r="R324" s="2"/>
      <c r="S324" s="2"/>
    </row>
    <row r="325" spans="3:24" x14ac:dyDescent="0.25">
      <c r="C325" s="5"/>
      <c r="D325" s="3"/>
      <c r="E325" s="3"/>
      <c r="F325" s="3"/>
      <c r="G325" s="3"/>
      <c r="H325" s="3"/>
      <c r="I325" s="3"/>
      <c r="K325" s="3"/>
      <c r="L325" s="3"/>
      <c r="M325" s="3"/>
      <c r="N325" s="3"/>
      <c r="O325" s="3"/>
      <c r="P325" s="69"/>
      <c r="Q325" s="2"/>
      <c r="R325" s="2"/>
      <c r="S325" s="2"/>
      <c r="U325" s="2"/>
      <c r="V325" s="2"/>
      <c r="W325" s="70"/>
      <c r="X325" s="70"/>
    </row>
    <row r="326" spans="3:24" x14ac:dyDescent="0.25">
      <c r="C326" s="5"/>
      <c r="D326" s="3"/>
      <c r="E326" s="3"/>
      <c r="F326" s="3"/>
      <c r="G326" s="3"/>
      <c r="H326" s="3"/>
      <c r="I326" s="3"/>
      <c r="Q326" s="4"/>
      <c r="R326" s="4"/>
      <c r="S326" s="4"/>
    </row>
    <row r="327" spans="3:24" x14ac:dyDescent="0.25">
      <c r="C327" s="5"/>
      <c r="D327" s="3"/>
      <c r="E327" s="3"/>
      <c r="F327" s="3"/>
      <c r="G327" s="3"/>
      <c r="H327" s="3"/>
      <c r="I327" s="3"/>
      <c r="Q327" s="4"/>
      <c r="R327" s="4"/>
      <c r="S327" s="4"/>
    </row>
    <row r="328" spans="3:24" x14ac:dyDescent="0.25">
      <c r="C328" s="5"/>
      <c r="D328" s="3"/>
      <c r="E328" s="3"/>
      <c r="F328" s="3"/>
      <c r="G328" s="3"/>
      <c r="H328" s="3"/>
      <c r="I328" s="3"/>
      <c r="Q328" s="4"/>
      <c r="R328" s="4"/>
      <c r="S328" s="4"/>
    </row>
    <row r="329" spans="3:24" x14ac:dyDescent="0.25">
      <c r="C329" s="5"/>
      <c r="D329" s="3"/>
      <c r="E329" s="3"/>
      <c r="F329" s="3"/>
      <c r="G329" s="3"/>
      <c r="H329" s="3"/>
      <c r="I329" s="3"/>
    </row>
    <row r="330" spans="3:24" x14ac:dyDescent="0.25">
      <c r="C330" s="5"/>
      <c r="D330" s="3"/>
      <c r="E330" s="3"/>
      <c r="F330" s="3"/>
      <c r="G330" s="3"/>
      <c r="H330" s="3"/>
      <c r="I330" s="3"/>
    </row>
    <row r="333" spans="3:24" x14ac:dyDescent="0.25">
      <c r="J333" s="4"/>
      <c r="P333" s="4"/>
      <c r="Q333" s="4"/>
      <c r="R333" s="4"/>
      <c r="S333" s="4"/>
      <c r="T333" s="4"/>
      <c r="W333" s="149"/>
      <c r="X333" s="149"/>
    </row>
    <row r="334" spans="3:24" x14ac:dyDescent="0.25">
      <c r="J334" s="4"/>
      <c r="P334" s="4"/>
      <c r="Q334" s="4"/>
      <c r="R334" s="4"/>
      <c r="S334" s="4"/>
      <c r="T334" s="4"/>
      <c r="W334" s="149"/>
      <c r="X334" s="149"/>
    </row>
    <row r="335" spans="3:24" x14ac:dyDescent="0.25">
      <c r="J335" s="4"/>
      <c r="P335" s="4"/>
      <c r="Q335" s="4"/>
      <c r="R335" s="4"/>
      <c r="S335" s="4"/>
      <c r="T335" s="4"/>
      <c r="W335" s="149"/>
      <c r="X335" s="149"/>
    </row>
  </sheetData>
  <sheetProtection algorithmName="SHA-512" hashValue="Sk06WJo0GhSUyXaRtk3ws5dtrOTisueabBrT2tDtVUCtPQ1eB8CnjrHIkz2Wx/9++Dq+w1AdudD1H8oJHx5sJQ==" saltValue="DuhdztxXn/2cfzMc7SFabQ==" spinCount="100000" sheet="1" selectLockedCells="1"/>
  <mergeCells count="40">
    <mergeCell ref="H110:H111"/>
    <mergeCell ref="I110:I111"/>
    <mergeCell ref="P110:P111"/>
    <mergeCell ref="U110:U111"/>
    <mergeCell ref="V110:V111"/>
    <mergeCell ref="R110:R111"/>
    <mergeCell ref="S110:S111"/>
    <mergeCell ref="W110:W111"/>
    <mergeCell ref="X110:X111"/>
    <mergeCell ref="K110:K111"/>
    <mergeCell ref="L110:L111"/>
    <mergeCell ref="M110:M111"/>
    <mergeCell ref="N110:N111"/>
    <mergeCell ref="O110:O111"/>
    <mergeCell ref="C110:C111"/>
    <mergeCell ref="D110:D111"/>
    <mergeCell ref="E110:E111"/>
    <mergeCell ref="F110:F111"/>
    <mergeCell ref="G110:G111"/>
    <mergeCell ref="A2:B2"/>
    <mergeCell ref="P4:Q4"/>
    <mergeCell ref="U4:V4"/>
    <mergeCell ref="A57:V57"/>
    <mergeCell ref="A6:V6"/>
    <mergeCell ref="A214:V214"/>
    <mergeCell ref="P56:Q56"/>
    <mergeCell ref="U56:V56"/>
    <mergeCell ref="P213:Q213"/>
    <mergeCell ref="U213:V213"/>
    <mergeCell ref="P96:Q96"/>
    <mergeCell ref="U96:V96"/>
    <mergeCell ref="A97:V97"/>
    <mergeCell ref="C195:I195"/>
    <mergeCell ref="K195:X195"/>
    <mergeCell ref="C202:I202"/>
    <mergeCell ref="K202:X202"/>
    <mergeCell ref="A212:X212"/>
    <mergeCell ref="C209:I209"/>
    <mergeCell ref="K209:X209"/>
    <mergeCell ref="A110:A111"/>
  </mergeCells>
  <phoneticPr fontId="43" type="noConversion"/>
  <conditionalFormatting sqref="C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{0C0A6CFD-12E7-4389-8302-762C64D34D2E}</x14:id>
        </ext>
      </extLst>
    </cfRule>
  </conditionalFormatting>
  <conditionalFormatting sqref="C7:C26 C28:C5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{29960F2E-69CC-4129-BA3F-934DBF0021E3}</x14:id>
        </ext>
      </extLst>
    </cfRule>
  </conditionalFormatting>
  <pageMargins left="0.7" right="0.7" top="0.75" bottom="0.75" header="0.3" footer="0.3"/>
  <pageSetup scale="54" orientation="portrait" horizontalDpi="4294967294" verticalDpi="144" r:id="rId1"/>
  <rowBreaks count="1" manualBreakCount="1">
    <brk id="95" max="16383" man="1"/>
  </rowBreaks>
  <ignoredErrors>
    <ignoredError sqref="K159:O159 M160:O160 M294:O295 L250 M249:O249 M162:O162 M223:O223 L137 O51 L135" formula="1"/>
    <ignoredError sqref="S4 S56 S96 S213" twoDigitTextYear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0A6CFD-12E7-4389-8302-762C64D34D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</xm:sqref>
        </x14:conditionalFormatting>
        <x14:conditionalFormatting xmlns:xm="http://schemas.microsoft.com/office/excel/2006/main">
          <x14:cfRule type="dataBar" id="{29960F2E-69CC-4129-BA3F-934DBF0021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C7:C26 C28:C54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335"/>
  <sheetViews>
    <sheetView view="pageBreakPreview" zoomScaleNormal="130" zoomScaleSheetLayoutView="100" workbookViewId="0">
      <pane ySplit="1" topLeftCell="A2" activePane="bottomLeft" state="frozen"/>
      <selection pane="bottomLeft" activeCell="N15" sqref="N15"/>
    </sheetView>
  </sheetViews>
  <sheetFormatPr defaultColWidth="9.140625" defaultRowHeight="12" x14ac:dyDescent="0.25"/>
  <cols>
    <col min="1" max="1" width="7.42578125" style="4" customWidth="1"/>
    <col min="2" max="2" width="50.42578125" style="4" customWidth="1"/>
    <col min="3" max="3" width="9" style="6" hidden="1" customWidth="1"/>
    <col min="4" max="9" width="7.28515625" style="4" hidden="1" customWidth="1"/>
    <col min="10" max="10" width="0.7109375" style="64" customWidth="1"/>
    <col min="11" max="15" width="7.7109375" style="4" customWidth="1"/>
    <col min="16" max="16" width="6.5703125" style="65" customWidth="1"/>
    <col min="17" max="17" width="6.140625" style="65" customWidth="1"/>
    <col min="18" max="18" width="3.140625" style="65" customWidth="1"/>
    <col min="19" max="19" width="5" style="65" customWidth="1"/>
    <col min="20" max="20" width="0.85546875" style="64" customWidth="1"/>
    <col min="21" max="21" width="4" style="4" customWidth="1"/>
    <col min="22" max="22" width="3.85546875" style="4" customWidth="1"/>
    <col min="23" max="23" width="10.140625" style="66" customWidth="1"/>
    <col min="24" max="24" width="13.7109375" style="66" customWidth="1"/>
    <col min="25" max="25" width="9.85546875" style="4" bestFit="1" customWidth="1"/>
    <col min="26" max="16384" width="9.140625" style="4"/>
  </cols>
  <sheetData>
    <row r="2" spans="1:24" x14ac:dyDescent="0.25">
      <c r="A2" s="279" t="s">
        <v>200</v>
      </c>
      <c r="B2" s="279"/>
    </row>
    <row r="3" spans="1:24" x14ac:dyDescent="0.25">
      <c r="A3" s="4" t="s">
        <v>733</v>
      </c>
      <c r="H3" s="4" t="s">
        <v>615</v>
      </c>
    </row>
    <row r="4" spans="1:24" s="2" customFormat="1" x14ac:dyDescent="0.25">
      <c r="A4" s="15" t="s">
        <v>0</v>
      </c>
      <c r="B4" s="14" t="s">
        <v>47</v>
      </c>
      <c r="C4" s="67" t="s">
        <v>80</v>
      </c>
      <c r="D4" s="15">
        <v>6</v>
      </c>
      <c r="E4" s="13">
        <v>12</v>
      </c>
      <c r="F4" s="13">
        <v>18</v>
      </c>
      <c r="G4" s="13">
        <v>24</v>
      </c>
      <c r="H4" s="13">
        <v>30</v>
      </c>
      <c r="I4" s="13">
        <v>36</v>
      </c>
      <c r="J4" s="1"/>
      <c r="K4" s="13" t="s">
        <v>2</v>
      </c>
      <c r="L4" s="13" t="s">
        <v>1</v>
      </c>
      <c r="M4" s="13" t="s">
        <v>3</v>
      </c>
      <c r="N4" s="13" t="s">
        <v>4</v>
      </c>
      <c r="O4" s="13" t="s">
        <v>5</v>
      </c>
      <c r="P4" s="261" t="s">
        <v>6</v>
      </c>
      <c r="Q4" s="262"/>
      <c r="R4" s="234">
        <v>6</v>
      </c>
      <c r="S4" s="235" t="s">
        <v>523</v>
      </c>
      <c r="T4" s="8"/>
      <c r="U4" s="259" t="s">
        <v>7</v>
      </c>
      <c r="V4" s="260"/>
      <c r="W4" s="57" t="s">
        <v>152</v>
      </c>
      <c r="X4" s="57" t="s">
        <v>198</v>
      </c>
    </row>
    <row r="5" spans="1:24" s="2" customFormat="1" x14ac:dyDescent="0.25">
      <c r="A5" s="1"/>
      <c r="C5" s="68" t="s">
        <v>8</v>
      </c>
      <c r="J5" s="1"/>
      <c r="P5" s="69"/>
      <c r="Q5" s="69"/>
      <c r="R5" s="69"/>
      <c r="S5" s="69"/>
      <c r="T5" s="1"/>
      <c r="W5" s="70"/>
      <c r="X5" s="70"/>
    </row>
    <row r="6" spans="1:24" ht="14.25" customHeight="1" x14ac:dyDescent="0.25">
      <c r="A6" s="281" t="s">
        <v>9</v>
      </c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71"/>
      <c r="X6" s="71"/>
    </row>
    <row r="7" spans="1:24" ht="13.5" customHeight="1" x14ac:dyDescent="0.25">
      <c r="A7" s="72">
        <v>84900</v>
      </c>
      <c r="B7" s="81" t="s">
        <v>715</v>
      </c>
      <c r="C7" s="17">
        <v>20000</v>
      </c>
      <c r="D7" s="16">
        <f>IF(C7&gt;=1,(K7-C7)*(1+P7*$D$4/100)/$D$4+Q7+R7,"")</f>
        <v>12975.486899999998</v>
      </c>
      <c r="E7" s="16">
        <f>IF(C7&gt;=1,(K7-C7)*(1+P7*$E$4/100)/$E$4+Q7+S7,"")</f>
        <v>7220.7368999999999</v>
      </c>
      <c r="F7" s="16">
        <f>IF(C7&gt;=1,(K7-C7)*(1+$P7*$F$4/100)/$F$4+Q7+S7, "")</f>
        <v>5344.1535666666668</v>
      </c>
      <c r="G7" s="16">
        <f>IF(C7&gt;=1, (K7-C7)*(1+$P7*$G$4/100)/$G$4+Q7+S7,"")</f>
        <v>4405.8618999999999</v>
      </c>
      <c r="H7" s="16">
        <f>IF(C7&gt;=1, (K7-C7)*(1+$P7*$H$4/100)/$H$4+Q7+S7, "")</f>
        <v>3842.8868999999995</v>
      </c>
      <c r="I7" s="16">
        <f>IF(C7&gt;=1, (K7-C7)*(1+$P7*$I$4/100)/$I$4+Q7+S7, "")</f>
        <v>3467.5702333333338</v>
      </c>
      <c r="J7" s="74"/>
      <c r="K7" s="75">
        <v>87557</v>
      </c>
      <c r="L7" s="76">
        <v>86454</v>
      </c>
      <c r="M7" s="76">
        <f>86822+1200</f>
        <v>88022</v>
      </c>
      <c r="N7" s="76">
        <f>87189+1200</f>
        <v>88389</v>
      </c>
      <c r="O7" s="76">
        <f>87557+1100</f>
        <v>88657</v>
      </c>
      <c r="P7" s="77">
        <v>2.17</v>
      </c>
      <c r="Q7" s="78"/>
      <c r="R7" s="233">
        <v>250</v>
      </c>
      <c r="S7" s="233">
        <v>125</v>
      </c>
      <c r="T7" s="74"/>
      <c r="U7" s="79">
        <v>200</v>
      </c>
      <c r="V7" s="79">
        <v>100</v>
      </c>
      <c r="W7" s="80">
        <v>45918</v>
      </c>
      <c r="X7" s="80" t="s">
        <v>716</v>
      </c>
    </row>
    <row r="8" spans="1:24" ht="13.5" customHeight="1" x14ac:dyDescent="0.25">
      <c r="A8" s="72">
        <v>93900</v>
      </c>
      <c r="B8" s="81" t="s">
        <v>717</v>
      </c>
      <c r="C8" s="17">
        <v>20000</v>
      </c>
      <c r="D8" s="16">
        <f>IF(C8&gt;=1,(K8-C8)*(1+P8*$D$4/100)/$D$4+Q8+R8,"")</f>
        <v>14721.645899999998</v>
      </c>
      <c r="E8" s="16">
        <f>IF(C8&gt;=1,(K8-C8)*(1+P8*$E$4/100)/$E$4+Q8+S8,"")</f>
        <v>8194.3958999999995</v>
      </c>
      <c r="F8" s="16">
        <f>IF(C8&gt;=1,(K8-C8)*(1+$P8*$F$4/100)/$F$4+Q8+S8, "")</f>
        <v>6060.3125666666665</v>
      </c>
      <c r="G8" s="16">
        <f>IF(C8&gt;=1, (K8-C8)*(1+$P8*$G$4/100)/$G$4+Q8+S8,"")</f>
        <v>4993.2708999999995</v>
      </c>
      <c r="H8" s="16">
        <f>IF(C8&gt;=1, (K8-C8)*(1+$P8*$H$4/100)/$H$4+Q8+S8, "")</f>
        <v>4353.0458999999992</v>
      </c>
      <c r="I8" s="16">
        <f>IF(C8&gt;=1, (K8-C8)*(1+$P8*$I$4/100)/$I$4+Q8+S8, "")</f>
        <v>3926.2292333333335</v>
      </c>
      <c r="J8" s="74"/>
      <c r="K8" s="75">
        <f>96827</f>
        <v>96827</v>
      </c>
      <c r="L8" s="76">
        <f>95419</f>
        <v>95419</v>
      </c>
      <c r="M8" s="76">
        <f>95888+1200</f>
        <v>97088</v>
      </c>
      <c r="N8" s="76">
        <f>96358+1200</f>
        <v>97558</v>
      </c>
      <c r="O8" s="76">
        <f>96827+1100</f>
        <v>97927</v>
      </c>
      <c r="P8" s="77">
        <v>2.17</v>
      </c>
      <c r="Q8" s="78"/>
      <c r="R8" s="233">
        <v>250</v>
      </c>
      <c r="S8" s="233">
        <v>125</v>
      </c>
      <c r="T8" s="74"/>
      <c r="U8" s="79">
        <v>200</v>
      </c>
      <c r="V8" s="79">
        <v>100</v>
      </c>
      <c r="W8" s="80">
        <v>45918</v>
      </c>
      <c r="X8" s="80" t="s">
        <v>718</v>
      </c>
    </row>
    <row r="9" spans="1:24" ht="13.5" customHeight="1" x14ac:dyDescent="0.25">
      <c r="A9" s="72">
        <v>66900</v>
      </c>
      <c r="B9" s="73" t="s">
        <v>361</v>
      </c>
      <c r="C9" s="17"/>
      <c r="D9" s="16" t="str">
        <f>IF(C9&gt;=1,(K9-C9)*(1+P9*$D$4/100)/$D$4+Q9+R9,"")</f>
        <v/>
      </c>
      <c r="E9" s="16" t="str">
        <f>IF(C9&gt;=1,(K9-C9)*(1+P9*$E$4/100)/$E$4+Q9+S9,"")</f>
        <v/>
      </c>
      <c r="F9" s="16" t="str">
        <f>IF(C9&gt;=1,(K9-C9)*(1+$P9*$F$4/100)/$F$4+Q9+S9, "")</f>
        <v/>
      </c>
      <c r="G9" s="16" t="str">
        <f>IF(C9&gt;=1, (K9-C9)*(1+$P9*$G$4/100)/$G$4+Q9+S9,"")</f>
        <v/>
      </c>
      <c r="H9" s="16" t="str">
        <f>IF(C9&gt;=1, (K9-C9)*(1+$P9*$H$4/100)/$H$4+Q9+S9, "")</f>
        <v/>
      </c>
      <c r="I9" s="16" t="str">
        <f>IF(C9&gt;=1, (K9-C9)*(1+$P9*$I$4/100)/$I$4+Q9+S9, "")</f>
        <v/>
      </c>
      <c r="J9" s="74"/>
      <c r="K9" s="75">
        <v>70694</v>
      </c>
      <c r="L9" s="76">
        <v>68026</v>
      </c>
      <c r="M9" s="76">
        <f>69875+240</f>
        <v>70115</v>
      </c>
      <c r="N9" s="76">
        <f>70764+240</f>
        <v>71004</v>
      </c>
      <c r="O9" s="76">
        <f>71554+240</f>
        <v>71794</v>
      </c>
      <c r="P9" s="77">
        <v>2.17</v>
      </c>
      <c r="Q9" s="78"/>
      <c r="R9" s="233">
        <v>250</v>
      </c>
      <c r="S9" s="233">
        <v>125</v>
      </c>
      <c r="T9" s="74"/>
      <c r="U9" s="79">
        <v>200</v>
      </c>
      <c r="V9" s="79">
        <v>100</v>
      </c>
      <c r="W9" s="80"/>
      <c r="X9" s="80"/>
    </row>
    <row r="10" spans="1:24" ht="13.5" customHeight="1" x14ac:dyDescent="0.25">
      <c r="A10" s="72">
        <v>80400</v>
      </c>
      <c r="B10" s="81" t="s">
        <v>396</v>
      </c>
      <c r="C10" s="17"/>
      <c r="D10" s="16" t="str">
        <f t="shared" ref="D10:D53" si="0">IF(C10&gt;=1,(K10-C10)*(1+P10*$D$4/100)/$D$4+Q10+R10,"")</f>
        <v/>
      </c>
      <c r="E10" s="16" t="str">
        <f t="shared" ref="E10:E54" si="1">IF(C10&gt;=1,(K10-C10)*(1+P10*$E$4/100)/$E$4+Q10+S10,"")</f>
        <v/>
      </c>
      <c r="F10" s="16" t="str">
        <f>IF(C10&gt;=1,(K10-C10)*(1+$P10*$F$4/100)/$F$4+Q10+S10, "")</f>
        <v/>
      </c>
      <c r="G10" s="16" t="str">
        <f>IF(C10&gt;=1, (K10-C10)*(1+$P10*$G$4/100)/$G$4+Q10+S10,"")</f>
        <v/>
      </c>
      <c r="H10" s="16" t="str">
        <f>IF(C10&gt;=1, (K10-C10)*(1+$P10*$H$4/100)/$H$4+Q10+S10, "")</f>
        <v/>
      </c>
      <c r="I10" s="16" t="str">
        <f t="shared" ref="I10:I52" si="2">IF(C10&gt;=1, (K10-C10)*(1+$P10*$I$4/100)/$I$4+Q10+S10, "")</f>
        <v/>
      </c>
      <c r="J10" s="74"/>
      <c r="K10" s="75">
        <f>84878</f>
        <v>84878</v>
      </c>
      <c r="L10" s="76">
        <f>81499</f>
        <v>81499</v>
      </c>
      <c r="M10" s="76">
        <f>82625+1200</f>
        <v>83825</v>
      </c>
      <c r="N10" s="76">
        <f>83751+1200</f>
        <v>84951</v>
      </c>
      <c r="O10" s="76">
        <f>84878+1100</f>
        <v>85978</v>
      </c>
      <c r="P10" s="77">
        <v>2.17</v>
      </c>
      <c r="Q10" s="78"/>
      <c r="R10" s="233">
        <v>250</v>
      </c>
      <c r="S10" s="233">
        <v>125</v>
      </c>
      <c r="T10" s="74"/>
      <c r="U10" s="79">
        <v>200</v>
      </c>
      <c r="V10" s="79">
        <v>100</v>
      </c>
      <c r="W10" s="151" t="s">
        <v>524</v>
      </c>
      <c r="X10" s="80" t="s">
        <v>529</v>
      </c>
    </row>
    <row r="11" spans="1:24" ht="13.5" customHeight="1" x14ac:dyDescent="0.25">
      <c r="A11" s="72">
        <v>83400</v>
      </c>
      <c r="B11" s="83" t="s">
        <v>480</v>
      </c>
      <c r="C11" s="17"/>
      <c r="D11" s="16" t="str">
        <f t="shared" si="0"/>
        <v/>
      </c>
      <c r="E11" s="16" t="str">
        <f t="shared" si="1"/>
        <v/>
      </c>
      <c r="F11" s="16" t="str">
        <f>IF(C11&gt;=1,(K11-C11)*(1+$P11*$F$4/100)/$F$4+Q11+S11, "")</f>
        <v/>
      </c>
      <c r="G11" s="16" t="str">
        <f>IF(C11&gt;=1, (K11-C11)*(1+$P11*$G$4/100)/$G$4+Q11+S11,"")</f>
        <v/>
      </c>
      <c r="H11" s="16" t="str">
        <f t="shared" ref="H11:H18" si="3">IF(C11&gt;=1, (K11-C11)*(1+$P11*$H$4/100)/$H$4+Q11+S11, "")</f>
        <v/>
      </c>
      <c r="I11" s="16" t="str">
        <f t="shared" si="2"/>
        <v/>
      </c>
      <c r="J11" s="74"/>
      <c r="K11" s="75">
        <f>87306</f>
        <v>87306</v>
      </c>
      <c r="L11" s="76">
        <f>84432</f>
        <v>84432</v>
      </c>
      <c r="M11" s="76">
        <f>85390+1200</f>
        <v>86590</v>
      </c>
      <c r="N11" s="76">
        <f>86348+1200</f>
        <v>87548</v>
      </c>
      <c r="O11" s="76">
        <f>87306+1100</f>
        <v>88406</v>
      </c>
      <c r="P11" s="77">
        <v>2.17</v>
      </c>
      <c r="Q11" s="78"/>
      <c r="R11" s="233">
        <v>250</v>
      </c>
      <c r="S11" s="233">
        <v>125</v>
      </c>
      <c r="T11" s="74"/>
      <c r="U11" s="79">
        <v>200</v>
      </c>
      <c r="V11" s="79">
        <v>100</v>
      </c>
      <c r="W11" s="151" t="s">
        <v>524</v>
      </c>
      <c r="X11" s="80" t="s">
        <v>530</v>
      </c>
    </row>
    <row r="12" spans="1:24" ht="13.5" customHeight="1" x14ac:dyDescent="0.25">
      <c r="A12" s="72">
        <v>92400</v>
      </c>
      <c r="B12" s="83" t="s">
        <v>477</v>
      </c>
      <c r="C12" s="17"/>
      <c r="D12" s="16" t="str">
        <f t="shared" si="0"/>
        <v/>
      </c>
      <c r="E12" s="16" t="str">
        <f t="shared" si="1"/>
        <v/>
      </c>
      <c r="F12" s="16" t="str">
        <f t="shared" ref="F12:F20" si="4">IF(C12&gt;=1,(K12-C12)*(1+$P12*$F$4/100)/$F$4+Q12+S12, "")</f>
        <v/>
      </c>
      <c r="G12" s="16" t="str">
        <f t="shared" ref="G12:G15" si="5">IF(C12&gt;=1, (K12-C12)*(1+$P12*$G$4/100)/$G$4+Q12+S12,"")</f>
        <v/>
      </c>
      <c r="H12" s="16" t="str">
        <f t="shared" si="3"/>
        <v/>
      </c>
      <c r="I12" s="16" t="str">
        <f t="shared" si="2"/>
        <v/>
      </c>
      <c r="J12" s="74"/>
      <c r="K12" s="75">
        <f>95262</f>
        <v>95262</v>
      </c>
      <c r="L12" s="76">
        <f>92400</f>
        <v>92400</v>
      </c>
      <c r="M12" s="76">
        <f>93354+1200</f>
        <v>94554</v>
      </c>
      <c r="N12" s="76">
        <f>94308+1200</f>
        <v>95508</v>
      </c>
      <c r="O12" s="76">
        <f>95262+1100</f>
        <v>96362</v>
      </c>
      <c r="P12" s="77">
        <v>2.17</v>
      </c>
      <c r="Q12" s="78"/>
      <c r="R12" s="233">
        <v>250</v>
      </c>
      <c r="S12" s="233">
        <v>125</v>
      </c>
      <c r="T12" s="74"/>
      <c r="U12" s="79">
        <v>200</v>
      </c>
      <c r="V12" s="79">
        <v>100</v>
      </c>
      <c r="W12" s="151" t="s">
        <v>478</v>
      </c>
      <c r="X12" s="80" t="s">
        <v>479</v>
      </c>
    </row>
    <row r="13" spans="1:24" ht="13.5" customHeight="1" x14ac:dyDescent="0.25">
      <c r="A13" s="72">
        <v>48900</v>
      </c>
      <c r="B13" s="73" t="s">
        <v>10</v>
      </c>
      <c r="C13" s="17"/>
      <c r="D13" s="16" t="str">
        <f t="shared" si="0"/>
        <v/>
      </c>
      <c r="E13" s="16" t="str">
        <f t="shared" si="1"/>
        <v/>
      </c>
      <c r="F13" s="16" t="str">
        <f t="shared" si="4"/>
        <v/>
      </c>
      <c r="G13" s="16" t="str">
        <f t="shared" si="5"/>
        <v/>
      </c>
      <c r="H13" s="16" t="str">
        <f t="shared" si="3"/>
        <v/>
      </c>
      <c r="I13" s="16" t="str">
        <f t="shared" si="2"/>
        <v/>
      </c>
      <c r="J13" s="74"/>
      <c r="K13" s="75">
        <v>52555</v>
      </c>
      <c r="L13" s="76">
        <v>51573</v>
      </c>
      <c r="M13" s="76">
        <f>52800+60+240</f>
        <v>53100</v>
      </c>
      <c r="N13" s="76">
        <f>53127+60+240</f>
        <v>53427</v>
      </c>
      <c r="O13" s="76">
        <f>53355+60+240</f>
        <v>53655</v>
      </c>
      <c r="P13" s="77">
        <v>3</v>
      </c>
      <c r="Q13" s="78"/>
      <c r="R13" s="233">
        <v>250</v>
      </c>
      <c r="S13" s="233">
        <v>125</v>
      </c>
      <c r="T13" s="74"/>
      <c r="U13" s="79">
        <v>500</v>
      </c>
      <c r="V13" s="79">
        <v>50</v>
      </c>
      <c r="W13" s="80"/>
      <c r="X13" s="80"/>
    </row>
    <row r="14" spans="1:24" ht="13.5" customHeight="1" x14ac:dyDescent="0.25">
      <c r="A14" s="72">
        <v>91900</v>
      </c>
      <c r="B14" s="73" t="s">
        <v>147</v>
      </c>
      <c r="C14" s="17"/>
      <c r="D14" s="16" t="str">
        <f t="shared" si="0"/>
        <v/>
      </c>
      <c r="E14" s="16" t="str">
        <f t="shared" si="1"/>
        <v/>
      </c>
      <c r="F14" s="16" t="str">
        <f t="shared" si="4"/>
        <v/>
      </c>
      <c r="G14" s="16" t="str">
        <f t="shared" si="5"/>
        <v/>
      </c>
      <c r="H14" s="16" t="str">
        <f t="shared" si="3"/>
        <v/>
      </c>
      <c r="I14" s="16" t="str">
        <f t="shared" si="2"/>
        <v/>
      </c>
      <c r="J14" s="74"/>
      <c r="K14" s="75">
        <v>94597</v>
      </c>
      <c r="L14" s="76">
        <v>92795</v>
      </c>
      <c r="M14" s="76">
        <f>93395+1200</f>
        <v>94595</v>
      </c>
      <c r="N14" s="76">
        <f>93996+1200</f>
        <v>95196</v>
      </c>
      <c r="O14" s="76">
        <f>94597+1100</f>
        <v>95697</v>
      </c>
      <c r="P14" s="77">
        <v>2.17</v>
      </c>
      <c r="Q14" s="78"/>
      <c r="R14" s="233">
        <v>250</v>
      </c>
      <c r="S14" s="233">
        <v>125</v>
      </c>
      <c r="T14" s="74"/>
      <c r="U14" s="79">
        <v>200</v>
      </c>
      <c r="V14" s="79">
        <v>100</v>
      </c>
      <c r="W14" s="80"/>
      <c r="X14" s="80"/>
    </row>
    <row r="15" spans="1:24" ht="13.5" customHeight="1" x14ac:dyDescent="0.25">
      <c r="A15" s="72">
        <v>93900</v>
      </c>
      <c r="B15" s="73" t="s">
        <v>344</v>
      </c>
      <c r="C15" s="17"/>
      <c r="D15" s="16" t="str">
        <f t="shared" si="0"/>
        <v/>
      </c>
      <c r="E15" s="16" t="str">
        <f t="shared" si="1"/>
        <v/>
      </c>
      <c r="F15" s="16" t="str">
        <f t="shared" si="4"/>
        <v/>
      </c>
      <c r="G15" s="16" t="str">
        <f t="shared" si="5"/>
        <v/>
      </c>
      <c r="H15" s="16" t="str">
        <f t="shared" si="3"/>
        <v/>
      </c>
      <c r="I15" s="16" t="str">
        <f t="shared" si="2"/>
        <v/>
      </c>
      <c r="J15" s="74"/>
      <c r="K15" s="75">
        <v>96597</v>
      </c>
      <c r="L15" s="76">
        <v>94795</v>
      </c>
      <c r="M15" s="76">
        <f>95395+1200</f>
        <v>96595</v>
      </c>
      <c r="N15" s="76">
        <f>95996+1200</f>
        <v>97196</v>
      </c>
      <c r="O15" s="76">
        <f>96597+1100</f>
        <v>97697</v>
      </c>
      <c r="P15" s="77">
        <v>2.17</v>
      </c>
      <c r="Q15" s="78"/>
      <c r="R15" s="233">
        <v>250</v>
      </c>
      <c r="S15" s="233">
        <v>125</v>
      </c>
      <c r="T15" s="74"/>
      <c r="U15" s="79">
        <v>200</v>
      </c>
      <c r="V15" s="79">
        <v>100</v>
      </c>
      <c r="W15" s="151" t="s">
        <v>268</v>
      </c>
      <c r="X15" s="80" t="s">
        <v>269</v>
      </c>
    </row>
    <row r="16" spans="1:24" ht="13.5" customHeight="1" x14ac:dyDescent="0.25">
      <c r="A16" s="72">
        <v>104900</v>
      </c>
      <c r="B16" s="73" t="s">
        <v>617</v>
      </c>
      <c r="C16" s="17"/>
      <c r="D16" s="16" t="str">
        <f t="shared" si="0"/>
        <v/>
      </c>
      <c r="E16" s="16" t="str">
        <f t="shared" si="1"/>
        <v/>
      </c>
      <c r="F16" s="16" t="str">
        <f t="shared" si="4"/>
        <v/>
      </c>
      <c r="G16" s="16" t="str">
        <f>IF(C16&gt;=1, (K16-C16)*(1+$P16*$G$4/100)/$G$4+Q16+S16,"")</f>
        <v/>
      </c>
      <c r="H16" s="16" t="str">
        <f t="shared" si="3"/>
        <v/>
      </c>
      <c r="I16" s="16" t="str">
        <f t="shared" si="2"/>
        <v/>
      </c>
      <c r="J16" s="74"/>
      <c r="K16" s="75">
        <f>108689</f>
        <v>108689</v>
      </c>
      <c r="L16" s="76">
        <f>106887</f>
        <v>106887</v>
      </c>
      <c r="M16" s="76">
        <f>107487+1200</f>
        <v>108687</v>
      </c>
      <c r="N16" s="76">
        <f>108088+1200</f>
        <v>109288</v>
      </c>
      <c r="O16" s="76">
        <f>108689+1100</f>
        <v>109789</v>
      </c>
      <c r="P16" s="77">
        <v>2.17</v>
      </c>
      <c r="Q16" s="78"/>
      <c r="R16" s="233">
        <v>250</v>
      </c>
      <c r="S16" s="233">
        <v>125</v>
      </c>
      <c r="T16" s="74"/>
      <c r="U16" s="79">
        <v>200</v>
      </c>
      <c r="V16" s="79">
        <v>100</v>
      </c>
      <c r="W16" s="151" t="s">
        <v>613</v>
      </c>
      <c r="X16" s="80" t="s">
        <v>616</v>
      </c>
    </row>
    <row r="17" spans="1:24" ht="13.5" customHeight="1" x14ac:dyDescent="0.25">
      <c r="A17" s="72">
        <v>114900</v>
      </c>
      <c r="B17" s="250" t="s">
        <v>612</v>
      </c>
      <c r="C17" s="17"/>
      <c r="D17" s="16" t="str">
        <f t="shared" si="0"/>
        <v/>
      </c>
      <c r="E17" s="16" t="str">
        <f t="shared" si="1"/>
        <v/>
      </c>
      <c r="F17" s="16" t="str">
        <f t="shared" si="4"/>
        <v/>
      </c>
      <c r="G17" s="16" t="str">
        <f>IF(C17&gt;=1, (K17-C17)*(1+$P17*$G$4/100)/$G$4+Q17+S17,"")</f>
        <v/>
      </c>
      <c r="H17" s="16" t="str">
        <f t="shared" si="3"/>
        <v/>
      </c>
      <c r="I17" s="16" t="str">
        <f t="shared" si="2"/>
        <v/>
      </c>
      <c r="J17" s="74"/>
      <c r="K17" s="75">
        <v>116878</v>
      </c>
      <c r="L17" s="76">
        <f>114900</f>
        <v>114900</v>
      </c>
      <c r="M17" s="76">
        <f>115560+1200</f>
        <v>116760</v>
      </c>
      <c r="N17" s="76">
        <f>116219+1200</f>
        <v>117419</v>
      </c>
      <c r="O17" s="76">
        <f>116878+1100</f>
        <v>117978</v>
      </c>
      <c r="P17" s="77">
        <v>2.17</v>
      </c>
      <c r="Q17" s="78"/>
      <c r="R17" s="233">
        <v>250</v>
      </c>
      <c r="S17" s="233">
        <v>125</v>
      </c>
      <c r="T17" s="74"/>
      <c r="U17" s="79">
        <v>200</v>
      </c>
      <c r="V17" s="79">
        <v>100</v>
      </c>
      <c r="W17" s="151" t="s">
        <v>613</v>
      </c>
      <c r="X17" s="80" t="s">
        <v>614</v>
      </c>
    </row>
    <row r="18" spans="1:24" ht="13.5" customHeight="1" x14ac:dyDescent="0.25">
      <c r="A18" s="72">
        <v>192900</v>
      </c>
      <c r="B18" s="73" t="s">
        <v>409</v>
      </c>
      <c r="C18" s="17"/>
      <c r="D18" s="16" t="str">
        <f t="shared" si="0"/>
        <v/>
      </c>
      <c r="E18" s="16" t="str">
        <f t="shared" si="1"/>
        <v/>
      </c>
      <c r="F18" s="16" t="str">
        <f t="shared" si="4"/>
        <v/>
      </c>
      <c r="G18" s="16" t="str">
        <f>IF(C18&gt;=1, (K18-C18)*(1+$P18*$G$4/100)/$G$4+Q18+S18,"")</f>
        <v/>
      </c>
      <c r="H18" s="16" t="str">
        <f t="shared" si="3"/>
        <v/>
      </c>
      <c r="I18" s="16" t="str">
        <f t="shared" si="2"/>
        <v/>
      </c>
      <c r="J18" s="74"/>
      <c r="K18" s="75">
        <f>200824</f>
        <v>200824</v>
      </c>
      <c r="L18" s="76">
        <v>193492</v>
      </c>
      <c r="M18" s="76">
        <f>195936+1200</f>
        <v>197136</v>
      </c>
      <c r="N18" s="76">
        <f>198380+1200</f>
        <v>199580</v>
      </c>
      <c r="O18" s="76">
        <f>200824+1100</f>
        <v>201924</v>
      </c>
      <c r="P18" s="77">
        <v>2.17</v>
      </c>
      <c r="Q18" s="78"/>
      <c r="R18" s="233">
        <v>250</v>
      </c>
      <c r="S18" s="233">
        <v>125</v>
      </c>
      <c r="T18" s="74"/>
      <c r="U18" s="79">
        <v>500</v>
      </c>
      <c r="V18" s="79">
        <v>100</v>
      </c>
      <c r="W18" s="151" t="s">
        <v>524</v>
      </c>
      <c r="X18" s="80" t="s">
        <v>531</v>
      </c>
    </row>
    <row r="19" spans="1:24" ht="13.5" customHeight="1" x14ac:dyDescent="0.25">
      <c r="A19" s="72">
        <v>182900</v>
      </c>
      <c r="B19" s="73" t="s">
        <v>502</v>
      </c>
      <c r="C19" s="17"/>
      <c r="D19" s="16" t="str">
        <f t="shared" si="0"/>
        <v/>
      </c>
      <c r="E19" s="16" t="str">
        <f t="shared" si="1"/>
        <v/>
      </c>
      <c r="F19" s="16" t="str">
        <f t="shared" si="4"/>
        <v/>
      </c>
      <c r="G19" s="16" t="str">
        <f>IF(C19&gt;=1, (K19-C19)*(1+$P19*$G$4/100)/$G$4+Q19+S19,"")</f>
        <v/>
      </c>
      <c r="H19" s="16" t="str">
        <f>IF(C19&gt;=1, (K19-C19)*(1+$P19*$H$4/100)/$H$4+Q19+S19, "")</f>
        <v/>
      </c>
      <c r="I19" s="16" t="str">
        <f t="shared" si="2"/>
        <v/>
      </c>
      <c r="J19" s="74"/>
      <c r="K19" s="75">
        <f>189492</f>
        <v>189492</v>
      </c>
      <c r="L19" s="76">
        <f>183492</f>
        <v>183492</v>
      </c>
      <c r="M19" s="76">
        <f>185425+1200</f>
        <v>186625</v>
      </c>
      <c r="N19" s="76">
        <f>187358+1200</f>
        <v>188558</v>
      </c>
      <c r="O19" s="76">
        <f>189292+1100</f>
        <v>190392</v>
      </c>
      <c r="P19" s="77">
        <v>2.17</v>
      </c>
      <c r="Q19" s="78"/>
      <c r="R19" s="233">
        <v>250</v>
      </c>
      <c r="S19" s="233">
        <v>125</v>
      </c>
      <c r="T19" s="74"/>
      <c r="U19" s="79">
        <v>500</v>
      </c>
      <c r="V19" s="79">
        <v>100</v>
      </c>
      <c r="W19" s="151" t="s">
        <v>524</v>
      </c>
      <c r="X19" s="80" t="s">
        <v>532</v>
      </c>
    </row>
    <row r="20" spans="1:24" ht="13.5" customHeight="1" x14ac:dyDescent="0.25">
      <c r="A20" s="72">
        <v>156000</v>
      </c>
      <c r="B20" s="81" t="s">
        <v>139</v>
      </c>
      <c r="C20" s="17"/>
      <c r="D20" s="16" t="str">
        <f t="shared" si="0"/>
        <v/>
      </c>
      <c r="E20" s="16" t="str">
        <f t="shared" si="1"/>
        <v/>
      </c>
      <c r="F20" s="16" t="str">
        <f t="shared" si="4"/>
        <v/>
      </c>
      <c r="G20" s="16" t="str">
        <f t="shared" ref="G20:G23" si="6">IF(C20&gt;=1, (K20-C20)*(1+$P20*$G$4/100)/$G$4+Q20+S20,"")</f>
        <v/>
      </c>
      <c r="H20" s="16" t="str">
        <f>IF(C20&gt;=1, (K20-C20)*(1+$P20*$H$4/100)/$H$4+Q20+S20, "")</f>
        <v/>
      </c>
      <c r="I20" s="16" t="str">
        <f t="shared" si="2"/>
        <v/>
      </c>
      <c r="J20" s="74"/>
      <c r="K20" s="75">
        <v>162285</v>
      </c>
      <c r="L20" s="76">
        <v>157777</v>
      </c>
      <c r="M20" s="76">
        <v>160239</v>
      </c>
      <c r="N20" s="76">
        <f>161742+260</f>
        <v>162002</v>
      </c>
      <c r="O20" s="76">
        <f>163145+260</f>
        <v>163405</v>
      </c>
      <c r="P20" s="77">
        <v>2.5</v>
      </c>
      <c r="Q20" s="78"/>
      <c r="R20" s="233">
        <v>250</v>
      </c>
      <c r="S20" s="233">
        <v>125</v>
      </c>
      <c r="T20" s="74"/>
      <c r="U20" s="79">
        <v>300</v>
      </c>
      <c r="V20" s="79">
        <v>100</v>
      </c>
      <c r="W20" s="80"/>
      <c r="X20" s="80"/>
    </row>
    <row r="21" spans="1:24" ht="13.5" customHeight="1" x14ac:dyDescent="0.25">
      <c r="A21" s="72">
        <v>112800</v>
      </c>
      <c r="B21" s="81" t="s">
        <v>140</v>
      </c>
      <c r="C21" s="17"/>
      <c r="D21" s="16" t="str">
        <f t="shared" si="0"/>
        <v/>
      </c>
      <c r="E21" s="16" t="str">
        <f t="shared" si="1"/>
        <v/>
      </c>
      <c r="F21" s="16" t="str">
        <f>IF(C21&gt;=1,(K21-C21)*(1+$P21*$F$4/100)/$F$4+Q21+S21, "")</f>
        <v/>
      </c>
      <c r="G21" s="16" t="str">
        <f t="shared" si="6"/>
        <v/>
      </c>
      <c r="H21" s="16" t="str">
        <f t="shared" ref="H21:H52" si="7">IF(C21&gt;=1, (K21-C21)*(1+$P21*$H$4/100)/$H$4+Q21+S21, "")</f>
        <v/>
      </c>
      <c r="I21" s="16" t="str">
        <f t="shared" si="2"/>
        <v/>
      </c>
      <c r="J21" s="74"/>
      <c r="K21" s="75">
        <v>119362</v>
      </c>
      <c r="L21" s="76">
        <v>116046</v>
      </c>
      <c r="M21" s="76">
        <f>118111+240</f>
        <v>118351</v>
      </c>
      <c r="N21" s="76">
        <f>119217+240</f>
        <v>119457</v>
      </c>
      <c r="O21" s="76">
        <f>120222+240</f>
        <v>120462</v>
      </c>
      <c r="P21" s="77">
        <v>2.5</v>
      </c>
      <c r="Q21" s="78"/>
      <c r="R21" s="233">
        <v>250</v>
      </c>
      <c r="S21" s="233">
        <v>125</v>
      </c>
      <c r="T21" s="74"/>
      <c r="U21" s="79">
        <v>300</v>
      </c>
      <c r="V21" s="79">
        <v>100</v>
      </c>
      <c r="W21" s="80"/>
      <c r="X21" s="80"/>
    </row>
    <row r="22" spans="1:24" ht="13.5" customHeight="1" x14ac:dyDescent="0.25">
      <c r="A22" s="72">
        <v>133900</v>
      </c>
      <c r="B22" s="81" t="s">
        <v>278</v>
      </c>
      <c r="C22" s="17"/>
      <c r="D22" s="16" t="str">
        <f t="shared" si="0"/>
        <v/>
      </c>
      <c r="E22" s="16" t="str">
        <f t="shared" si="1"/>
        <v/>
      </c>
      <c r="F22" s="16" t="str">
        <f>IF(C22&gt;=1,(K22-C22)*(1+$P22*$F$4/100)/$F$4+Q22+S22, "")</f>
        <v/>
      </c>
      <c r="G22" s="16" t="str">
        <f t="shared" si="6"/>
        <v/>
      </c>
      <c r="H22" s="16" t="str">
        <f t="shared" si="7"/>
        <v/>
      </c>
      <c r="I22" s="16" t="str">
        <f t="shared" si="2"/>
        <v/>
      </c>
      <c r="J22" s="74"/>
      <c r="K22" s="75">
        <f>139045</f>
        <v>139045</v>
      </c>
      <c r="L22" s="76">
        <f>134492</f>
        <v>134492</v>
      </c>
      <c r="M22" s="76">
        <f>136009+1200</f>
        <v>137209</v>
      </c>
      <c r="N22" s="76">
        <f>137527+1200</f>
        <v>138727</v>
      </c>
      <c r="O22" s="76">
        <f>139045+1100</f>
        <v>140145</v>
      </c>
      <c r="P22" s="77">
        <v>2.5</v>
      </c>
      <c r="Q22" s="78"/>
      <c r="R22" s="233">
        <v>250</v>
      </c>
      <c r="S22" s="233">
        <v>125</v>
      </c>
      <c r="T22" s="74"/>
      <c r="U22" s="79">
        <v>300</v>
      </c>
      <c r="V22" s="79">
        <v>100</v>
      </c>
      <c r="W22" s="151" t="s">
        <v>461</v>
      </c>
      <c r="X22" s="80" t="s">
        <v>462</v>
      </c>
    </row>
    <row r="23" spans="1:24" x14ac:dyDescent="0.25">
      <c r="A23" s="72">
        <v>93900</v>
      </c>
      <c r="B23" s="73" t="s">
        <v>68</v>
      </c>
      <c r="C23" s="17"/>
      <c r="D23" s="16" t="str">
        <f t="shared" si="0"/>
        <v/>
      </c>
      <c r="E23" s="16" t="str">
        <f t="shared" si="1"/>
        <v/>
      </c>
      <c r="F23" s="16" t="str">
        <f t="shared" ref="F23:F54" si="8">IF(C23&gt;=1,(K23-C23)*(1+$P23*$F$4/100)/$F$4+Q23+S23, "")</f>
        <v/>
      </c>
      <c r="G23" s="16" t="str">
        <f t="shared" si="6"/>
        <v/>
      </c>
      <c r="H23" s="16" t="str">
        <f t="shared" si="7"/>
        <v/>
      </c>
      <c r="I23" s="16" t="str">
        <f t="shared" si="2"/>
        <v/>
      </c>
      <c r="J23" s="74"/>
      <c r="K23" s="75">
        <v>101703</v>
      </c>
      <c r="L23" s="76">
        <v>94600</v>
      </c>
      <c r="M23" s="76">
        <f>96968+1200</f>
        <v>98168</v>
      </c>
      <c r="N23" s="76">
        <f>99336+1200</f>
        <v>100536</v>
      </c>
      <c r="O23" s="76">
        <f>101703+1100</f>
        <v>102803</v>
      </c>
      <c r="P23" s="77">
        <v>3</v>
      </c>
      <c r="Q23" s="78"/>
      <c r="R23" s="233">
        <v>250</v>
      </c>
      <c r="S23" s="233">
        <v>125</v>
      </c>
      <c r="T23" s="74"/>
      <c r="U23" s="79">
        <v>500</v>
      </c>
      <c r="V23" s="79">
        <v>100</v>
      </c>
      <c r="W23" s="80"/>
      <c r="X23" s="80"/>
    </row>
    <row r="24" spans="1:24" x14ac:dyDescent="0.25">
      <c r="A24" s="72">
        <v>95900</v>
      </c>
      <c r="B24" s="73" t="s">
        <v>137</v>
      </c>
      <c r="C24" s="17"/>
      <c r="D24" s="16" t="str">
        <f t="shared" si="0"/>
        <v/>
      </c>
      <c r="E24" s="16" t="str">
        <f t="shared" si="1"/>
        <v/>
      </c>
      <c r="F24" s="16" t="str">
        <f t="shared" si="8"/>
        <v/>
      </c>
      <c r="G24" s="16" t="str">
        <f>IF(C24&gt;=1, (K24-C24)*(1+$P24*$G$4/100)/$G$4+Q24+S24,"")</f>
        <v/>
      </c>
      <c r="H24" s="16" t="str">
        <f t="shared" si="7"/>
        <v/>
      </c>
      <c r="I24" s="16" t="str">
        <f t="shared" si="2"/>
        <v/>
      </c>
      <c r="J24" s="74"/>
      <c r="K24" s="75">
        <v>103703</v>
      </c>
      <c r="L24" s="76">
        <v>93800</v>
      </c>
      <c r="M24" s="76">
        <f>99928+240</f>
        <v>100168</v>
      </c>
      <c r="N24" s="76">
        <f>102296+240</f>
        <v>102536</v>
      </c>
      <c r="O24" s="76">
        <f>104563+240</f>
        <v>104803</v>
      </c>
      <c r="P24" s="77">
        <v>2.17</v>
      </c>
      <c r="Q24" s="78"/>
      <c r="R24" s="233">
        <v>250</v>
      </c>
      <c r="S24" s="233">
        <v>125</v>
      </c>
      <c r="T24" s="74"/>
      <c r="U24" s="79">
        <v>500</v>
      </c>
      <c r="V24" s="79">
        <v>100</v>
      </c>
      <c r="W24" s="80"/>
      <c r="X24" s="80"/>
    </row>
    <row r="25" spans="1:24" x14ac:dyDescent="0.25">
      <c r="A25" s="72">
        <v>96900</v>
      </c>
      <c r="B25" s="73" t="s">
        <v>132</v>
      </c>
      <c r="C25" s="17"/>
      <c r="D25" s="16" t="str">
        <f t="shared" si="0"/>
        <v/>
      </c>
      <c r="E25" s="16" t="str">
        <f t="shared" si="1"/>
        <v/>
      </c>
      <c r="F25" s="16" t="str">
        <f t="shared" si="8"/>
        <v/>
      </c>
      <c r="G25" s="16" t="str">
        <f>IF(C25&gt;=1, (K25-C25)*(1+$P25*$G$4/100)/$G$4+Q25+S25,"")</f>
        <v/>
      </c>
      <c r="H25" s="16" t="str">
        <f t="shared" si="7"/>
        <v/>
      </c>
      <c r="I25" s="16" t="str">
        <f t="shared" si="2"/>
        <v/>
      </c>
      <c r="J25" s="74"/>
      <c r="K25" s="75">
        <v>104703</v>
      </c>
      <c r="L25" s="76">
        <v>97600</v>
      </c>
      <c r="M25" s="76">
        <f>99967+1200</f>
        <v>101167</v>
      </c>
      <c r="N25" s="76">
        <f>102335+1200</f>
        <v>103535</v>
      </c>
      <c r="O25" s="76">
        <f>104703+1100</f>
        <v>105803</v>
      </c>
      <c r="P25" s="77">
        <v>2.17</v>
      </c>
      <c r="Q25" s="78"/>
      <c r="R25" s="233">
        <v>250</v>
      </c>
      <c r="S25" s="233">
        <v>125</v>
      </c>
      <c r="T25" s="74"/>
      <c r="U25" s="79">
        <v>500</v>
      </c>
      <c r="V25" s="79">
        <v>100</v>
      </c>
      <c r="W25" s="80"/>
      <c r="X25" s="80"/>
    </row>
    <row r="26" spans="1:24" x14ac:dyDescent="0.25">
      <c r="A26" s="72">
        <v>118400</v>
      </c>
      <c r="B26" s="73" t="s">
        <v>450</v>
      </c>
      <c r="C26" s="17"/>
      <c r="D26" s="16" t="str">
        <f t="shared" si="0"/>
        <v/>
      </c>
      <c r="E26" s="16" t="str">
        <f t="shared" si="1"/>
        <v/>
      </c>
      <c r="F26" s="16" t="str">
        <f t="shared" si="8"/>
        <v/>
      </c>
      <c r="G26" s="16" t="str">
        <f>IF(C26&gt;=1, (K26-C26)*(1+$P26*$G$4/100)/$G$4+Q26+S26,"")</f>
        <v/>
      </c>
      <c r="H26" s="16" t="str">
        <f t="shared" si="7"/>
        <v/>
      </c>
      <c r="I26" s="16" t="str">
        <f t="shared" si="2"/>
        <v/>
      </c>
      <c r="J26" s="74"/>
      <c r="K26" s="75">
        <f>123210</f>
        <v>123210</v>
      </c>
      <c r="L26" s="76">
        <f>118992</f>
        <v>118992</v>
      </c>
      <c r="M26" s="76">
        <f>120398+1200</f>
        <v>121598</v>
      </c>
      <c r="N26" s="76">
        <f>121804+1200</f>
        <v>123004</v>
      </c>
      <c r="O26" s="76">
        <f>123210+1100</f>
        <v>124310</v>
      </c>
      <c r="P26" s="77">
        <v>2.17</v>
      </c>
      <c r="Q26" s="78"/>
      <c r="R26" s="233">
        <v>250</v>
      </c>
      <c r="S26" s="233">
        <v>125</v>
      </c>
      <c r="T26" s="74"/>
      <c r="U26" s="79">
        <v>500</v>
      </c>
      <c r="V26" s="79">
        <v>100</v>
      </c>
      <c r="W26" s="151" t="s">
        <v>495</v>
      </c>
      <c r="X26" s="151" t="s">
        <v>496</v>
      </c>
    </row>
    <row r="27" spans="1:24" x14ac:dyDescent="0.25">
      <c r="A27" s="72">
        <v>121900</v>
      </c>
      <c r="B27" s="82" t="s">
        <v>533</v>
      </c>
      <c r="C27" s="17"/>
      <c r="D27" s="16" t="str">
        <f t="shared" si="0"/>
        <v/>
      </c>
      <c r="E27" s="16" t="str">
        <f t="shared" si="1"/>
        <v/>
      </c>
      <c r="F27" s="16" t="str">
        <f t="shared" si="8"/>
        <v/>
      </c>
      <c r="G27" s="16" t="str">
        <f>IF(C27&gt;=1, (K27-C27)*(1+$P27*$G$4/100)/$G$4+Q27+S27,"")</f>
        <v/>
      </c>
      <c r="H27" s="16" t="str">
        <f t="shared" si="7"/>
        <v/>
      </c>
      <c r="I27" s="16" t="str">
        <f t="shared" si="2"/>
        <v/>
      </c>
      <c r="J27" s="74"/>
      <c r="K27" s="75">
        <f>126710</f>
        <v>126710</v>
      </c>
      <c r="L27" s="76">
        <f>122492</f>
        <v>122492</v>
      </c>
      <c r="M27" s="76">
        <f>123898+1200</f>
        <v>125098</v>
      </c>
      <c r="N27" s="76">
        <f>125304+1200</f>
        <v>126504</v>
      </c>
      <c r="O27" s="76">
        <f>126710+1100</f>
        <v>127810</v>
      </c>
      <c r="P27" s="77">
        <v>2.17</v>
      </c>
      <c r="Q27" s="78"/>
      <c r="R27" s="233">
        <v>250</v>
      </c>
      <c r="S27" s="233">
        <v>125</v>
      </c>
      <c r="T27" s="74"/>
      <c r="U27" s="79">
        <v>500</v>
      </c>
      <c r="V27" s="79">
        <v>100</v>
      </c>
      <c r="W27" s="151" t="s">
        <v>582</v>
      </c>
      <c r="X27" s="151" t="s">
        <v>591</v>
      </c>
    </row>
    <row r="28" spans="1:24" x14ac:dyDescent="0.25">
      <c r="A28" s="72">
        <v>108900</v>
      </c>
      <c r="B28" s="73" t="s">
        <v>589</v>
      </c>
      <c r="C28" s="17"/>
      <c r="D28" s="16" t="str">
        <f t="shared" si="0"/>
        <v/>
      </c>
      <c r="E28" s="16" t="str">
        <f t="shared" si="1"/>
        <v/>
      </c>
      <c r="F28" s="16" t="str">
        <f t="shared" si="8"/>
        <v/>
      </c>
      <c r="G28" s="16" t="str">
        <f t="shared" ref="G28:G33" si="9">IF(C28&gt;=1, (K28-C28)*(1+$P28*$G$4/100)/$G$4+Q28+S28,"")</f>
        <v/>
      </c>
      <c r="H28" s="16" t="str">
        <f t="shared" si="7"/>
        <v/>
      </c>
      <c r="I28" s="16" t="str">
        <f t="shared" si="2"/>
        <v/>
      </c>
      <c r="J28" s="74"/>
      <c r="K28" s="75">
        <f>116765</f>
        <v>116765</v>
      </c>
      <c r="L28" s="76">
        <f>110072</f>
        <v>110072</v>
      </c>
      <c r="M28" s="76">
        <f>112303+1200</f>
        <v>113503</v>
      </c>
      <c r="N28" s="76">
        <f>114534+1200</f>
        <v>115734</v>
      </c>
      <c r="O28" s="76">
        <f>116765+1100</f>
        <v>117865</v>
      </c>
      <c r="P28" s="77">
        <v>2.17</v>
      </c>
      <c r="Q28" s="78"/>
      <c r="R28" s="233">
        <v>250</v>
      </c>
      <c r="S28" s="233">
        <v>125</v>
      </c>
      <c r="T28" s="74"/>
      <c r="U28" s="79">
        <v>500</v>
      </c>
      <c r="V28" s="79">
        <v>100</v>
      </c>
      <c r="W28" s="151" t="s">
        <v>582</v>
      </c>
      <c r="X28" s="80" t="s">
        <v>590</v>
      </c>
    </row>
    <row r="29" spans="1:24" x14ac:dyDescent="0.25">
      <c r="A29" s="72">
        <v>106900</v>
      </c>
      <c r="B29" s="73" t="s">
        <v>359</v>
      </c>
      <c r="C29" s="17"/>
      <c r="D29" s="16" t="str">
        <f t="shared" si="0"/>
        <v/>
      </c>
      <c r="E29" s="16" t="str">
        <f t="shared" si="1"/>
        <v/>
      </c>
      <c r="F29" s="16" t="str">
        <f t="shared" si="8"/>
        <v/>
      </c>
      <c r="G29" s="16" t="str">
        <f t="shared" si="9"/>
        <v/>
      </c>
      <c r="H29" s="16" t="str">
        <f t="shared" si="7"/>
        <v/>
      </c>
      <c r="I29" s="16" t="str">
        <f t="shared" si="2"/>
        <v/>
      </c>
      <c r="J29" s="74"/>
      <c r="K29" s="75">
        <f>114765</f>
        <v>114765</v>
      </c>
      <c r="L29" s="76">
        <f>108072</f>
        <v>108072</v>
      </c>
      <c r="M29" s="76">
        <f>110303+1200</f>
        <v>111503</v>
      </c>
      <c r="N29" s="76">
        <f>112534+1200</f>
        <v>113734</v>
      </c>
      <c r="O29" s="76">
        <f>114765+1100</f>
        <v>115865</v>
      </c>
      <c r="P29" s="77">
        <v>2.17</v>
      </c>
      <c r="Q29" s="78"/>
      <c r="R29" s="233">
        <v>250</v>
      </c>
      <c r="S29" s="233">
        <v>125</v>
      </c>
      <c r="T29" s="74"/>
      <c r="U29" s="79">
        <v>500</v>
      </c>
      <c r="V29" s="79">
        <v>100</v>
      </c>
      <c r="W29" s="151" t="s">
        <v>524</v>
      </c>
      <c r="X29" s="80" t="s">
        <v>525</v>
      </c>
    </row>
    <row r="30" spans="1:24" x14ac:dyDescent="0.25">
      <c r="A30" s="72">
        <v>146400</v>
      </c>
      <c r="B30" s="73" t="s">
        <v>730</v>
      </c>
      <c r="C30" s="17">
        <v>50000</v>
      </c>
      <c r="D30" s="16">
        <f t="shared" si="0"/>
        <v>19187.6312</v>
      </c>
      <c r="E30" s="16">
        <f t="shared" si="1"/>
        <v>10684.6312</v>
      </c>
      <c r="F30" s="16">
        <f t="shared" si="8"/>
        <v>7891.9645333333337</v>
      </c>
      <c r="G30" s="16">
        <f t="shared" si="9"/>
        <v>6495.6311999999998</v>
      </c>
      <c r="H30" s="16">
        <f t="shared" si="7"/>
        <v>5657.8311999999996</v>
      </c>
      <c r="I30" s="16">
        <f t="shared" si="2"/>
        <v>5099.2978666666668</v>
      </c>
      <c r="J30" s="74"/>
      <c r="K30" s="75">
        <f>150536</f>
        <v>150536</v>
      </c>
      <c r="L30" s="76">
        <v>146400</v>
      </c>
      <c r="M30" s="76">
        <f>147779+1200</f>
        <v>148979</v>
      </c>
      <c r="N30" s="76">
        <f>149157+1200</f>
        <v>150357</v>
      </c>
      <c r="O30" s="76">
        <f>150536+1100</f>
        <v>151636</v>
      </c>
      <c r="P30" s="77">
        <v>2.17</v>
      </c>
      <c r="Q30" s="78"/>
      <c r="R30" s="233">
        <v>250</v>
      </c>
      <c r="S30" s="233">
        <v>125</v>
      </c>
      <c r="T30" s="74"/>
      <c r="U30" s="79">
        <v>500</v>
      </c>
      <c r="V30" s="79">
        <v>100</v>
      </c>
      <c r="W30" s="151" t="s">
        <v>731</v>
      </c>
      <c r="X30" s="80" t="s">
        <v>732</v>
      </c>
    </row>
    <row r="31" spans="1:24" x14ac:dyDescent="0.25">
      <c r="A31" s="72">
        <v>130000</v>
      </c>
      <c r="B31" s="73" t="s">
        <v>734</v>
      </c>
      <c r="C31" s="17">
        <v>50000</v>
      </c>
      <c r="D31" s="16">
        <f t="shared" si="0"/>
        <v>16175.083099999998</v>
      </c>
      <c r="E31" s="16">
        <f t="shared" si="1"/>
        <v>9004.8330999999998</v>
      </c>
      <c r="F31" s="16">
        <f t="shared" si="8"/>
        <v>6656.4164333333338</v>
      </c>
      <c r="G31" s="16">
        <f t="shared" si="9"/>
        <v>5482.2080999999998</v>
      </c>
      <c r="H31" s="16">
        <f t="shared" si="7"/>
        <v>4777.6830999999993</v>
      </c>
      <c r="I31" s="16">
        <f t="shared" si="2"/>
        <v>4307.9997666666668</v>
      </c>
      <c r="J31" s="74"/>
      <c r="K31" s="75">
        <f>134543</f>
        <v>134543</v>
      </c>
      <c r="L31" s="76">
        <v>130000</v>
      </c>
      <c r="M31" s="76">
        <f>131514+1200</f>
        <v>132714</v>
      </c>
      <c r="N31" s="76">
        <f>133029+1200</f>
        <v>134229</v>
      </c>
      <c r="O31" s="76">
        <f>134543+1100</f>
        <v>135643</v>
      </c>
      <c r="P31" s="77">
        <v>2.17</v>
      </c>
      <c r="Q31" s="78"/>
      <c r="R31" s="233">
        <v>250</v>
      </c>
      <c r="S31" s="233">
        <v>125</v>
      </c>
      <c r="T31" s="74"/>
      <c r="U31" s="79">
        <v>500</v>
      </c>
      <c r="V31" s="79">
        <v>100</v>
      </c>
      <c r="W31" s="151" t="s">
        <v>731</v>
      </c>
      <c r="X31" s="80" t="s">
        <v>735</v>
      </c>
    </row>
    <row r="32" spans="1:24" x14ac:dyDescent="0.25">
      <c r="A32" s="72">
        <v>97900</v>
      </c>
      <c r="B32" s="82" t="s">
        <v>167</v>
      </c>
      <c r="C32" s="17"/>
      <c r="D32" s="16" t="str">
        <f t="shared" si="0"/>
        <v/>
      </c>
      <c r="E32" s="16" t="str">
        <f t="shared" si="1"/>
        <v/>
      </c>
      <c r="F32" s="16" t="str">
        <f t="shared" si="8"/>
        <v/>
      </c>
      <c r="G32" s="16" t="str">
        <f t="shared" si="9"/>
        <v/>
      </c>
      <c r="H32" s="16" t="str">
        <f t="shared" si="7"/>
        <v/>
      </c>
      <c r="I32" s="16" t="str">
        <f t="shared" si="2"/>
        <v/>
      </c>
      <c r="J32" s="74"/>
      <c r="K32" s="75">
        <v>105173</v>
      </c>
      <c r="L32" s="76">
        <v>98480</v>
      </c>
      <c r="M32" s="76">
        <f>100711+1200</f>
        <v>101911</v>
      </c>
      <c r="N32" s="76">
        <f>102942+1200</f>
        <v>104142</v>
      </c>
      <c r="O32" s="76">
        <f>105173+1100</f>
        <v>106273</v>
      </c>
      <c r="P32" s="77">
        <v>2.17</v>
      </c>
      <c r="Q32" s="78"/>
      <c r="R32" s="233">
        <v>250</v>
      </c>
      <c r="S32" s="233">
        <v>125</v>
      </c>
      <c r="T32" s="74"/>
      <c r="U32" s="79">
        <v>500</v>
      </c>
      <c r="V32" s="79">
        <v>100</v>
      </c>
      <c r="W32" s="80">
        <v>43890</v>
      </c>
      <c r="X32" s="80" t="s">
        <v>236</v>
      </c>
    </row>
    <row r="33" spans="1:24" x14ac:dyDescent="0.25">
      <c r="A33" s="72">
        <v>60900</v>
      </c>
      <c r="B33" s="73" t="s">
        <v>69</v>
      </c>
      <c r="C33" s="17"/>
      <c r="D33" s="16" t="str">
        <f t="shared" si="0"/>
        <v/>
      </c>
      <c r="E33" s="16" t="str">
        <f t="shared" si="1"/>
        <v/>
      </c>
      <c r="F33" s="16" t="str">
        <f t="shared" si="8"/>
        <v/>
      </c>
      <c r="G33" s="16" t="str">
        <f t="shared" si="9"/>
        <v/>
      </c>
      <c r="H33" s="16" t="str">
        <f t="shared" si="7"/>
        <v/>
      </c>
      <c r="I33" s="16" t="str">
        <f t="shared" si="2"/>
        <v/>
      </c>
      <c r="J33" s="74"/>
      <c r="K33" s="75">
        <v>65795</v>
      </c>
      <c r="L33" s="76">
        <v>62600</v>
      </c>
      <c r="M33" s="76">
        <f>64565+60+240</f>
        <v>64865</v>
      </c>
      <c r="N33" s="76">
        <f>65630+60+240</f>
        <v>65930</v>
      </c>
      <c r="O33" s="76">
        <f>66595+60+240</f>
        <v>66895</v>
      </c>
      <c r="P33" s="77">
        <v>3</v>
      </c>
      <c r="Q33" s="78"/>
      <c r="R33" s="233">
        <v>250</v>
      </c>
      <c r="S33" s="233">
        <v>125</v>
      </c>
      <c r="T33" s="74"/>
      <c r="U33" s="79">
        <v>800</v>
      </c>
      <c r="V33" s="79">
        <v>100</v>
      </c>
      <c r="W33" s="80"/>
      <c r="X33" s="80"/>
    </row>
    <row r="34" spans="1:24" x14ac:dyDescent="0.25">
      <c r="A34" s="72">
        <v>64900</v>
      </c>
      <c r="B34" s="73" t="s">
        <v>81</v>
      </c>
      <c r="C34" s="17"/>
      <c r="D34" s="16" t="str">
        <f t="shared" si="0"/>
        <v/>
      </c>
      <c r="E34" s="16" t="str">
        <f t="shared" si="1"/>
        <v/>
      </c>
      <c r="F34" s="16" t="str">
        <f t="shared" si="8"/>
        <v/>
      </c>
      <c r="G34" s="16" t="str">
        <f>IF(C34&gt;=1, (K34-C34)*(1+$P34*$G$4/100)/$G$4+Q34+S34,"")</f>
        <v/>
      </c>
      <c r="H34" s="16" t="str">
        <f t="shared" si="7"/>
        <v/>
      </c>
      <c r="I34" s="16" t="str">
        <f t="shared" si="2"/>
        <v/>
      </c>
      <c r="J34" s="74"/>
      <c r="K34" s="75">
        <v>68163</v>
      </c>
      <c r="L34" s="76">
        <v>66587</v>
      </c>
      <c r="M34" s="76">
        <f>68072+240</f>
        <v>68312</v>
      </c>
      <c r="N34" s="76">
        <f>68597+240</f>
        <v>68837</v>
      </c>
      <c r="O34" s="76">
        <f>69023+240</f>
        <v>69263</v>
      </c>
      <c r="P34" s="77">
        <v>3</v>
      </c>
      <c r="Q34" s="78"/>
      <c r="R34" s="233">
        <v>250</v>
      </c>
      <c r="S34" s="233">
        <v>125</v>
      </c>
      <c r="T34" s="74"/>
      <c r="U34" s="79">
        <v>700</v>
      </c>
      <c r="V34" s="79">
        <v>100</v>
      </c>
      <c r="W34" s="80"/>
      <c r="X34" s="80"/>
    </row>
    <row r="35" spans="1:24" x14ac:dyDescent="0.25">
      <c r="A35" s="72">
        <v>69900</v>
      </c>
      <c r="B35" s="73" t="s">
        <v>146</v>
      </c>
      <c r="C35" s="17"/>
      <c r="D35" s="16" t="str">
        <f t="shared" si="0"/>
        <v/>
      </c>
      <c r="E35" s="16" t="str">
        <f t="shared" si="1"/>
        <v/>
      </c>
      <c r="F35" s="16" t="str">
        <f t="shared" si="8"/>
        <v/>
      </c>
      <c r="G35" s="16" t="str">
        <f>IF(C35&gt;=1, (K35-C35)*(1+$P35*$G$4/100)/$G$4+Q35+S35,"")</f>
        <v/>
      </c>
      <c r="H35" s="16" t="str">
        <f t="shared" si="7"/>
        <v/>
      </c>
      <c r="I35" s="16" t="str">
        <f t="shared" si="2"/>
        <v/>
      </c>
      <c r="J35" s="74"/>
      <c r="K35" s="75">
        <v>72655</v>
      </c>
      <c r="L35" s="76">
        <v>71302</v>
      </c>
      <c r="M35" s="76">
        <f>71753+1200</f>
        <v>72953</v>
      </c>
      <c r="N35" s="76">
        <f>72204+1200</f>
        <v>73404</v>
      </c>
      <c r="O35" s="76">
        <f>72655+1100</f>
        <v>73755</v>
      </c>
      <c r="P35" s="77">
        <v>3</v>
      </c>
      <c r="Q35" s="78"/>
      <c r="R35" s="233">
        <v>250</v>
      </c>
      <c r="S35" s="233">
        <v>125</v>
      </c>
      <c r="T35" s="74"/>
      <c r="U35" s="79">
        <v>700</v>
      </c>
      <c r="V35" s="79">
        <v>100</v>
      </c>
      <c r="W35" s="80"/>
      <c r="X35" s="80"/>
    </row>
    <row r="36" spans="1:24" x14ac:dyDescent="0.25">
      <c r="A36" s="72">
        <v>64900</v>
      </c>
      <c r="B36" s="73" t="s">
        <v>154</v>
      </c>
      <c r="C36" s="17"/>
      <c r="D36" s="16" t="str">
        <f t="shared" si="0"/>
        <v/>
      </c>
      <c r="E36" s="16" t="str">
        <f t="shared" si="1"/>
        <v/>
      </c>
      <c r="F36" s="16" t="str">
        <f t="shared" si="8"/>
        <v/>
      </c>
      <c r="G36" s="16" t="str">
        <f>IF(C36&gt;=1, (K36-C36)*(1+$P36*$G$4/100)/$G$4+Q36+S36,"")</f>
        <v/>
      </c>
      <c r="H36" s="16" t="str">
        <f t="shared" si="7"/>
        <v/>
      </c>
      <c r="I36" s="16" t="str">
        <f t="shared" si="2"/>
        <v/>
      </c>
      <c r="J36" s="74"/>
      <c r="K36" s="75">
        <v>68163</v>
      </c>
      <c r="L36" s="76">
        <v>66587</v>
      </c>
      <c r="M36" s="76">
        <f>68072+240</f>
        <v>68312</v>
      </c>
      <c r="N36" s="76">
        <f>68597+240</f>
        <v>68837</v>
      </c>
      <c r="O36" s="76">
        <f>69023+240</f>
        <v>69263</v>
      </c>
      <c r="P36" s="77">
        <v>3</v>
      </c>
      <c r="Q36" s="78"/>
      <c r="R36" s="233">
        <v>250</v>
      </c>
      <c r="S36" s="233">
        <v>125</v>
      </c>
      <c r="T36" s="74"/>
      <c r="U36" s="79">
        <v>700</v>
      </c>
      <c r="V36" s="79">
        <v>100</v>
      </c>
      <c r="W36" s="80"/>
      <c r="X36" s="80"/>
    </row>
    <row r="37" spans="1:24" x14ac:dyDescent="0.25">
      <c r="A37" s="72">
        <v>70900</v>
      </c>
      <c r="B37" s="73" t="s">
        <v>133</v>
      </c>
      <c r="C37" s="17"/>
      <c r="D37" s="16" t="str">
        <f t="shared" si="0"/>
        <v/>
      </c>
      <c r="E37" s="16" t="str">
        <f t="shared" si="1"/>
        <v/>
      </c>
      <c r="F37" s="16" t="str">
        <f t="shared" si="8"/>
        <v/>
      </c>
      <c r="G37" s="16" t="str">
        <f>IF(C37&gt;=1, (K37-C37)*(1+$P37*$G$4/100)/$G$4+Q37+S37,"")</f>
        <v/>
      </c>
      <c r="H37" s="16" t="str">
        <f t="shared" si="7"/>
        <v/>
      </c>
      <c r="I37" s="16" t="str">
        <f t="shared" si="2"/>
        <v/>
      </c>
      <c r="J37" s="74"/>
      <c r="K37" s="75">
        <v>73655</v>
      </c>
      <c r="L37" s="76">
        <v>72302</v>
      </c>
      <c r="M37" s="76">
        <f>72753+1200</f>
        <v>73953</v>
      </c>
      <c r="N37" s="76">
        <f>73204+1200</f>
        <v>74404</v>
      </c>
      <c r="O37" s="76">
        <f>73655+1100</f>
        <v>74755</v>
      </c>
      <c r="P37" s="77">
        <v>2.5</v>
      </c>
      <c r="Q37" s="78"/>
      <c r="R37" s="233">
        <v>250</v>
      </c>
      <c r="S37" s="233">
        <v>125</v>
      </c>
      <c r="T37" s="74"/>
      <c r="U37" s="79">
        <v>600</v>
      </c>
      <c r="V37" s="79">
        <v>100</v>
      </c>
      <c r="W37" s="80"/>
      <c r="X37" s="80"/>
    </row>
    <row r="38" spans="1:24" x14ac:dyDescent="0.25">
      <c r="A38" s="72">
        <v>65900</v>
      </c>
      <c r="B38" s="73" t="s">
        <v>148</v>
      </c>
      <c r="C38" s="17"/>
      <c r="D38" s="16" t="str">
        <f t="shared" si="0"/>
        <v/>
      </c>
      <c r="E38" s="16" t="str">
        <f t="shared" si="1"/>
        <v/>
      </c>
      <c r="F38" s="16" t="str">
        <f t="shared" si="8"/>
        <v/>
      </c>
      <c r="G38" s="16" t="str">
        <f t="shared" ref="G38:G41" si="10">IF(C38&gt;=1, (K38-C38)*(1+$P38*$G$4/100)/$G$4+Q38+S38,"")</f>
        <v/>
      </c>
      <c r="H38" s="16" t="str">
        <f t="shared" si="7"/>
        <v/>
      </c>
      <c r="I38" s="16" t="str">
        <f t="shared" si="2"/>
        <v/>
      </c>
      <c r="J38" s="74"/>
      <c r="K38" s="75">
        <v>69481</v>
      </c>
      <c r="L38" s="76">
        <v>68157</v>
      </c>
      <c r="M38" s="76">
        <f>68598+1200</f>
        <v>69798</v>
      </c>
      <c r="N38" s="76">
        <f>69039+1200</f>
        <v>70239</v>
      </c>
      <c r="O38" s="76">
        <f>69481+1100</f>
        <v>70581</v>
      </c>
      <c r="P38" s="77">
        <v>2.5</v>
      </c>
      <c r="Q38" s="78"/>
      <c r="R38" s="233">
        <v>250</v>
      </c>
      <c r="S38" s="233">
        <v>125</v>
      </c>
      <c r="T38" s="74"/>
      <c r="U38" s="79">
        <v>600</v>
      </c>
      <c r="V38" s="79">
        <v>100</v>
      </c>
      <c r="W38" s="80"/>
      <c r="X38" s="80"/>
    </row>
    <row r="39" spans="1:24" x14ac:dyDescent="0.25">
      <c r="A39" s="72">
        <v>67900</v>
      </c>
      <c r="B39" s="73" t="s">
        <v>149</v>
      </c>
      <c r="C39" s="17"/>
      <c r="D39" s="16" t="str">
        <f t="shared" si="0"/>
        <v/>
      </c>
      <c r="E39" s="16" t="str">
        <f t="shared" si="1"/>
        <v/>
      </c>
      <c r="F39" s="16" t="str">
        <f t="shared" si="8"/>
        <v/>
      </c>
      <c r="G39" s="16" t="str">
        <f t="shared" si="10"/>
        <v/>
      </c>
      <c r="H39" s="16" t="str">
        <f t="shared" si="7"/>
        <v/>
      </c>
      <c r="I39" s="16" t="str">
        <f t="shared" si="2"/>
        <v/>
      </c>
      <c r="J39" s="74"/>
      <c r="K39" s="75">
        <v>71423</v>
      </c>
      <c r="L39" s="76">
        <v>70063</v>
      </c>
      <c r="M39" s="76">
        <f>70516+1200</f>
        <v>71716</v>
      </c>
      <c r="N39" s="76">
        <f>70969+1200</f>
        <v>72169</v>
      </c>
      <c r="O39" s="76">
        <f>71423+1100</f>
        <v>72523</v>
      </c>
      <c r="P39" s="77">
        <v>3</v>
      </c>
      <c r="Q39" s="78"/>
      <c r="R39" s="233">
        <v>250</v>
      </c>
      <c r="S39" s="233">
        <v>125</v>
      </c>
      <c r="T39" s="74"/>
      <c r="U39" s="79">
        <v>700</v>
      </c>
      <c r="V39" s="79">
        <v>100</v>
      </c>
      <c r="W39" s="80"/>
      <c r="X39" s="80"/>
    </row>
    <row r="40" spans="1:24" x14ac:dyDescent="0.25">
      <c r="A40" s="72">
        <v>70900</v>
      </c>
      <c r="B40" s="73" t="s">
        <v>242</v>
      </c>
      <c r="C40" s="17"/>
      <c r="D40" s="16" t="str">
        <f t="shared" si="0"/>
        <v/>
      </c>
      <c r="E40" s="16" t="str">
        <f t="shared" si="1"/>
        <v/>
      </c>
      <c r="F40" s="16" t="str">
        <f t="shared" si="8"/>
        <v/>
      </c>
      <c r="G40" s="16" t="str">
        <f t="shared" si="10"/>
        <v/>
      </c>
      <c r="H40" s="16" t="str">
        <f t="shared" si="7"/>
        <v/>
      </c>
      <c r="I40" s="16" t="str">
        <f t="shared" si="2"/>
        <v/>
      </c>
      <c r="J40" s="74"/>
      <c r="K40" s="75">
        <f>74655</f>
        <v>74655</v>
      </c>
      <c r="L40" s="76">
        <f>73179</f>
        <v>73179</v>
      </c>
      <c r="M40" s="76">
        <f>73671+1200</f>
        <v>74871</v>
      </c>
      <c r="N40" s="76">
        <f>74163+1200</f>
        <v>75363</v>
      </c>
      <c r="O40" s="76">
        <f>74655+1100</f>
        <v>75755</v>
      </c>
      <c r="P40" s="77">
        <v>2.5</v>
      </c>
      <c r="Q40" s="78"/>
      <c r="R40" s="233">
        <v>250</v>
      </c>
      <c r="S40" s="233">
        <v>125</v>
      </c>
      <c r="T40" s="74"/>
      <c r="U40" s="79">
        <v>600</v>
      </c>
      <c r="V40" s="79">
        <v>100</v>
      </c>
      <c r="W40" s="151" t="s">
        <v>582</v>
      </c>
      <c r="X40" s="80" t="s">
        <v>588</v>
      </c>
    </row>
    <row r="41" spans="1:24" x14ac:dyDescent="0.25">
      <c r="A41" s="72">
        <v>63900</v>
      </c>
      <c r="B41" s="73" t="s">
        <v>73</v>
      </c>
      <c r="C41" s="17"/>
      <c r="D41" s="16" t="str">
        <f t="shared" si="0"/>
        <v/>
      </c>
      <c r="E41" s="16" t="str">
        <f t="shared" si="1"/>
        <v/>
      </c>
      <c r="F41" s="16" t="str">
        <f t="shared" si="8"/>
        <v/>
      </c>
      <c r="G41" s="16" t="str">
        <f t="shared" si="10"/>
        <v/>
      </c>
      <c r="H41" s="16" t="str">
        <f t="shared" si="7"/>
        <v/>
      </c>
      <c r="I41" s="16" t="str">
        <f t="shared" si="2"/>
        <v/>
      </c>
      <c r="J41" s="74"/>
      <c r="K41" s="75">
        <v>68095</v>
      </c>
      <c r="L41" s="76">
        <v>65938</v>
      </c>
      <c r="M41" s="76">
        <f>67617+240</f>
        <v>67857</v>
      </c>
      <c r="N41" s="76">
        <f>68336+240</f>
        <v>68576</v>
      </c>
      <c r="O41" s="76">
        <f>68955+240</f>
        <v>69195</v>
      </c>
      <c r="P41" s="77">
        <v>2.17</v>
      </c>
      <c r="Q41" s="78"/>
      <c r="R41" s="233">
        <v>250</v>
      </c>
      <c r="S41" s="233">
        <v>125</v>
      </c>
      <c r="T41" s="74"/>
      <c r="U41" s="79">
        <v>200</v>
      </c>
      <c r="V41" s="79">
        <v>50</v>
      </c>
      <c r="W41" s="80"/>
      <c r="X41" s="80"/>
    </row>
    <row r="42" spans="1:24" x14ac:dyDescent="0.25">
      <c r="A42" s="72">
        <v>58900</v>
      </c>
      <c r="B42" s="73" t="s">
        <v>74</v>
      </c>
      <c r="C42" s="17"/>
      <c r="D42" s="16" t="str">
        <f t="shared" si="0"/>
        <v/>
      </c>
      <c r="E42" s="16" t="str">
        <f t="shared" si="1"/>
        <v/>
      </c>
      <c r="F42" s="16" t="str">
        <f t="shared" si="8"/>
        <v/>
      </c>
      <c r="G42" s="16" t="str">
        <f>IF(C42&gt;=1, (K42-C42)*(1+$P42*$G$4/100)/$G$4+Q42+S42,"")</f>
        <v/>
      </c>
      <c r="H42" s="16" t="str">
        <f t="shared" si="7"/>
        <v/>
      </c>
      <c r="I42" s="16" t="str">
        <f t="shared" si="2"/>
        <v/>
      </c>
      <c r="J42" s="74"/>
      <c r="K42" s="75">
        <v>62795</v>
      </c>
      <c r="L42" s="76">
        <v>61252</v>
      </c>
      <c r="M42" s="76">
        <f>62726+240</f>
        <v>62966</v>
      </c>
      <c r="N42" s="76">
        <f>63240+240</f>
        <v>63480</v>
      </c>
      <c r="O42" s="76">
        <f>63655+240</f>
        <v>63895</v>
      </c>
      <c r="P42" s="77">
        <v>2.17</v>
      </c>
      <c r="Q42" s="78"/>
      <c r="R42" s="233">
        <v>250</v>
      </c>
      <c r="S42" s="233">
        <v>125</v>
      </c>
      <c r="T42" s="74"/>
      <c r="U42" s="79">
        <v>200</v>
      </c>
      <c r="V42" s="79">
        <v>50</v>
      </c>
      <c r="W42" s="80"/>
      <c r="X42" s="80"/>
    </row>
    <row r="43" spans="1:24" x14ac:dyDescent="0.25">
      <c r="A43" s="72">
        <v>70900</v>
      </c>
      <c r="B43" s="73" t="s">
        <v>75</v>
      </c>
      <c r="C43" s="17"/>
      <c r="D43" s="16" t="str">
        <f t="shared" si="0"/>
        <v/>
      </c>
      <c r="E43" s="16" t="str">
        <f t="shared" si="1"/>
        <v/>
      </c>
      <c r="F43" s="16" t="str">
        <f t="shared" si="8"/>
        <v/>
      </c>
      <c r="G43" s="16" t="str">
        <f>IF(C43&gt;=1, (K43-C43)*(1+$P43*$G$4/100)/$G$4+Q43+S43,"")</f>
        <v/>
      </c>
      <c r="H43" s="16" t="str">
        <f t="shared" si="7"/>
        <v/>
      </c>
      <c r="I43" s="16" t="str">
        <f t="shared" si="2"/>
        <v/>
      </c>
      <c r="J43" s="74"/>
      <c r="K43" s="75">
        <v>76195</v>
      </c>
      <c r="L43" s="76">
        <v>73350</v>
      </c>
      <c r="M43" s="76">
        <f>75199+60+240</f>
        <v>75499</v>
      </c>
      <c r="N43" s="76">
        <f>76147+60+240</f>
        <v>76447</v>
      </c>
      <c r="O43" s="76">
        <f>76995+60+240</f>
        <v>77295</v>
      </c>
      <c r="P43" s="77">
        <v>2.17</v>
      </c>
      <c r="Q43" s="78"/>
      <c r="R43" s="233">
        <v>250</v>
      </c>
      <c r="S43" s="233">
        <v>125</v>
      </c>
      <c r="T43" s="74"/>
      <c r="U43" s="79">
        <v>500</v>
      </c>
      <c r="V43" s="79">
        <v>50</v>
      </c>
      <c r="W43" s="80"/>
      <c r="X43" s="80"/>
    </row>
    <row r="44" spans="1:24" x14ac:dyDescent="0.25">
      <c r="A44" s="72">
        <v>78900</v>
      </c>
      <c r="B44" s="73" t="s">
        <v>143</v>
      </c>
      <c r="C44" s="17"/>
      <c r="D44" s="16" t="str">
        <f t="shared" si="0"/>
        <v/>
      </c>
      <c r="E44" s="16" t="str">
        <f t="shared" si="1"/>
        <v/>
      </c>
      <c r="F44" s="16" t="str">
        <f t="shared" si="8"/>
        <v/>
      </c>
      <c r="G44" s="16" t="str">
        <f>IF(C44&gt;=1, (K44-C44)*(1+$P44*$G$4/100)/$G$4+Q44+S44,"")</f>
        <v/>
      </c>
      <c r="H44" s="16" t="str">
        <f t="shared" si="7"/>
        <v/>
      </c>
      <c r="I44" s="16" t="str">
        <f t="shared" si="2"/>
        <v/>
      </c>
      <c r="J44" s="74"/>
      <c r="K44" s="75">
        <v>82820</v>
      </c>
      <c r="L44" s="76">
        <v>78900</v>
      </c>
      <c r="M44" s="76">
        <f>81166+240</f>
        <v>81406</v>
      </c>
      <c r="N44" s="76">
        <f>82473+240</f>
        <v>82713</v>
      </c>
      <c r="O44" s="76">
        <f>83680+240</f>
        <v>83920</v>
      </c>
      <c r="P44" s="77">
        <v>2.17</v>
      </c>
      <c r="Q44" s="78"/>
      <c r="R44" s="233">
        <v>250</v>
      </c>
      <c r="S44" s="233">
        <v>125</v>
      </c>
      <c r="T44" s="74"/>
      <c r="U44" s="79">
        <v>200</v>
      </c>
      <c r="V44" s="79">
        <v>50</v>
      </c>
      <c r="W44" s="80"/>
      <c r="X44" s="80"/>
    </row>
    <row r="45" spans="1:24" x14ac:dyDescent="0.25">
      <c r="A45" s="72">
        <v>71900</v>
      </c>
      <c r="B45" s="73" t="s">
        <v>202</v>
      </c>
      <c r="C45" s="17"/>
      <c r="D45" s="16" t="str">
        <f t="shared" si="0"/>
        <v/>
      </c>
      <c r="E45" s="16" t="str">
        <f t="shared" si="1"/>
        <v/>
      </c>
      <c r="F45" s="16" t="str">
        <f t="shared" si="8"/>
        <v/>
      </c>
      <c r="G45" s="16" t="str">
        <f t="shared" ref="G45:G49" si="11">IF(C45&gt;=1, (K45-C45)*(1+$P45*$G$4/100)/$G$4+Q45+S45,"")</f>
        <v/>
      </c>
      <c r="H45" s="16" t="str">
        <f t="shared" si="7"/>
        <v/>
      </c>
      <c r="I45" s="16" t="str">
        <f t="shared" si="2"/>
        <v/>
      </c>
      <c r="J45" s="74"/>
      <c r="K45" s="75">
        <f>76057</f>
        <v>76057</v>
      </c>
      <c r="L45" s="76">
        <f>74696</f>
        <v>74696</v>
      </c>
      <c r="M45" s="76">
        <f>75149+1200</f>
        <v>76349</v>
      </c>
      <c r="N45" s="76">
        <f>75603+1200</f>
        <v>76803</v>
      </c>
      <c r="O45" s="76">
        <f>76057+1100</f>
        <v>77157</v>
      </c>
      <c r="P45" s="77">
        <v>2.17</v>
      </c>
      <c r="Q45" s="78"/>
      <c r="R45" s="233">
        <v>250</v>
      </c>
      <c r="S45" s="233">
        <v>125</v>
      </c>
      <c r="T45" s="74"/>
      <c r="U45" s="79">
        <v>350</v>
      </c>
      <c r="V45" s="79">
        <v>100</v>
      </c>
      <c r="W45" s="151" t="s">
        <v>524</v>
      </c>
      <c r="X45" s="80" t="s">
        <v>526</v>
      </c>
    </row>
    <row r="46" spans="1:24" x14ac:dyDescent="0.25">
      <c r="A46" s="72">
        <v>72900</v>
      </c>
      <c r="B46" s="73" t="s">
        <v>592</v>
      </c>
      <c r="C46" s="17"/>
      <c r="D46" s="16" t="str">
        <f t="shared" si="0"/>
        <v/>
      </c>
      <c r="E46" s="16" t="str">
        <f t="shared" si="1"/>
        <v/>
      </c>
      <c r="F46" s="16" t="str">
        <f t="shared" si="8"/>
        <v/>
      </c>
      <c r="G46" s="16" t="str">
        <f t="shared" si="11"/>
        <v/>
      </c>
      <c r="H46" s="16" t="str">
        <f t="shared" si="7"/>
        <v/>
      </c>
      <c r="I46" s="16" t="str">
        <f t="shared" si="2"/>
        <v/>
      </c>
      <c r="J46" s="74"/>
      <c r="K46" s="75">
        <f>77057</f>
        <v>77057</v>
      </c>
      <c r="L46" s="76">
        <f>75696</f>
        <v>75696</v>
      </c>
      <c r="M46" s="76">
        <f>76149+1200</f>
        <v>77349</v>
      </c>
      <c r="N46" s="76">
        <f>76603+1200</f>
        <v>77803</v>
      </c>
      <c r="O46" s="76">
        <f>77057+1100</f>
        <v>78157</v>
      </c>
      <c r="P46" s="77">
        <v>2.17</v>
      </c>
      <c r="Q46" s="78"/>
      <c r="R46" s="233">
        <v>250</v>
      </c>
      <c r="S46" s="233">
        <v>125</v>
      </c>
      <c r="T46" s="74"/>
      <c r="U46" s="79">
        <v>350</v>
      </c>
      <c r="V46" s="79">
        <v>100</v>
      </c>
      <c r="W46" s="151" t="s">
        <v>582</v>
      </c>
      <c r="X46" s="80" t="s">
        <v>593</v>
      </c>
    </row>
    <row r="47" spans="1:24" x14ac:dyDescent="0.25">
      <c r="A47" s="72">
        <v>73900</v>
      </c>
      <c r="B47" s="73" t="s">
        <v>280</v>
      </c>
      <c r="C47" s="17"/>
      <c r="D47" s="16" t="str">
        <f t="shared" si="0"/>
        <v/>
      </c>
      <c r="E47" s="16" t="str">
        <f t="shared" si="1"/>
        <v/>
      </c>
      <c r="F47" s="16" t="str">
        <f t="shared" si="8"/>
        <v/>
      </c>
      <c r="G47" s="16" t="str">
        <f t="shared" si="11"/>
        <v/>
      </c>
      <c r="H47" s="16" t="str">
        <f t="shared" si="7"/>
        <v/>
      </c>
      <c r="I47" s="16" t="str">
        <f t="shared" si="2"/>
        <v/>
      </c>
      <c r="J47" s="74"/>
      <c r="K47" s="75">
        <f>76597</f>
        <v>76597</v>
      </c>
      <c r="L47" s="76">
        <f>75213</f>
        <v>75213</v>
      </c>
      <c r="M47" s="76">
        <f>75674+1200</f>
        <v>76874</v>
      </c>
      <c r="N47" s="76">
        <f>76135+1200</f>
        <v>77335</v>
      </c>
      <c r="O47" s="76">
        <f>76597+1100</f>
        <v>77697</v>
      </c>
      <c r="P47" s="77">
        <v>2.17</v>
      </c>
      <c r="Q47" s="78"/>
      <c r="R47" s="233">
        <v>250</v>
      </c>
      <c r="S47" s="233">
        <v>125</v>
      </c>
      <c r="T47" s="74"/>
      <c r="U47" s="79">
        <v>350</v>
      </c>
      <c r="V47" s="79">
        <v>100</v>
      </c>
      <c r="W47" s="151" t="s">
        <v>527</v>
      </c>
      <c r="X47" s="80" t="s">
        <v>528</v>
      </c>
    </row>
    <row r="48" spans="1:24" x14ac:dyDescent="0.25">
      <c r="A48" s="72">
        <v>63400</v>
      </c>
      <c r="B48" s="83" t="s">
        <v>581</v>
      </c>
      <c r="C48" s="17"/>
      <c r="D48" s="16" t="str">
        <f t="shared" si="0"/>
        <v/>
      </c>
      <c r="E48" s="16" t="str">
        <f t="shared" si="1"/>
        <v/>
      </c>
      <c r="F48" s="16" t="str">
        <f t="shared" si="8"/>
        <v/>
      </c>
      <c r="G48" s="16" t="str">
        <f t="shared" si="11"/>
        <v/>
      </c>
      <c r="H48" s="16" t="str">
        <f t="shared" si="7"/>
        <v/>
      </c>
      <c r="I48" s="16" t="str">
        <f t="shared" si="2"/>
        <v/>
      </c>
      <c r="J48" s="74"/>
      <c r="K48" s="75">
        <f>68087</f>
        <v>68087</v>
      </c>
      <c r="L48" s="76">
        <f>66544</f>
        <v>66544</v>
      </c>
      <c r="M48" s="76">
        <f>67058+1200</f>
        <v>68258</v>
      </c>
      <c r="N48" s="76">
        <f>67573+1200</f>
        <v>68773</v>
      </c>
      <c r="O48" s="76">
        <f>68087+1100</f>
        <v>69187</v>
      </c>
      <c r="P48" s="77">
        <v>2.5</v>
      </c>
      <c r="Q48" s="78">
        <v>200</v>
      </c>
      <c r="R48" s="233">
        <v>250</v>
      </c>
      <c r="S48" s="233">
        <v>125</v>
      </c>
      <c r="T48" s="74"/>
      <c r="U48" s="79">
        <v>700</v>
      </c>
      <c r="V48" s="79">
        <v>100</v>
      </c>
      <c r="W48" s="151" t="s">
        <v>582</v>
      </c>
      <c r="X48" s="80" t="s">
        <v>583</v>
      </c>
    </row>
    <row r="49" spans="1:24" x14ac:dyDescent="0.25">
      <c r="A49" s="72">
        <v>61900</v>
      </c>
      <c r="B49" s="83" t="s">
        <v>199</v>
      </c>
      <c r="C49" s="17"/>
      <c r="D49" s="16" t="str">
        <f t="shared" si="0"/>
        <v/>
      </c>
      <c r="E49" s="16" t="str">
        <f t="shared" si="1"/>
        <v/>
      </c>
      <c r="F49" s="16" t="str">
        <f t="shared" si="8"/>
        <v/>
      </c>
      <c r="G49" s="16" t="str">
        <f t="shared" si="11"/>
        <v/>
      </c>
      <c r="H49" s="16" t="str">
        <f t="shared" si="7"/>
        <v/>
      </c>
      <c r="I49" s="16" t="str">
        <f t="shared" si="2"/>
        <v/>
      </c>
      <c r="J49" s="74"/>
      <c r="K49" s="75">
        <v>65651</v>
      </c>
      <c r="L49" s="76">
        <v>63803</v>
      </c>
      <c r="M49" s="76">
        <v>65619</v>
      </c>
      <c r="N49" s="76">
        <v>66235</v>
      </c>
      <c r="O49" s="76">
        <v>66751</v>
      </c>
      <c r="P49" s="77">
        <v>2.5</v>
      </c>
      <c r="Q49" s="78">
        <v>200</v>
      </c>
      <c r="R49" s="233">
        <v>250</v>
      </c>
      <c r="S49" s="233">
        <v>125</v>
      </c>
      <c r="T49" s="74"/>
      <c r="U49" s="79">
        <v>500</v>
      </c>
      <c r="V49" s="79">
        <v>100</v>
      </c>
      <c r="W49" s="151" t="s">
        <v>237</v>
      </c>
      <c r="X49" s="80" t="s">
        <v>238</v>
      </c>
    </row>
    <row r="50" spans="1:24" x14ac:dyDescent="0.25">
      <c r="A50" s="72">
        <v>68400</v>
      </c>
      <c r="B50" s="83" t="s">
        <v>584</v>
      </c>
      <c r="C50" s="17"/>
      <c r="D50" s="16" t="str">
        <f t="shared" si="0"/>
        <v/>
      </c>
      <c r="E50" s="16" t="str">
        <f t="shared" si="1"/>
        <v/>
      </c>
      <c r="F50" s="16" t="str">
        <f t="shared" si="8"/>
        <v/>
      </c>
      <c r="G50" s="16" t="str">
        <f>IF(C50&gt;=1, (K50-C50)*(1+$P50*$G$4/100)/$G$4+Q50+S50,"")</f>
        <v/>
      </c>
      <c r="H50" s="16" t="str">
        <f t="shared" si="7"/>
        <v/>
      </c>
      <c r="I50" s="16" t="str">
        <f t="shared" si="2"/>
        <v/>
      </c>
      <c r="J50" s="74"/>
      <c r="K50" s="75">
        <f>72743</f>
        <v>72743</v>
      </c>
      <c r="L50" s="76">
        <f>70895</f>
        <v>70895</v>
      </c>
      <c r="M50" s="76">
        <f>71511+1200</f>
        <v>72711</v>
      </c>
      <c r="N50" s="76">
        <f>72127+1200</f>
        <v>73327</v>
      </c>
      <c r="O50" s="76">
        <f>72743+1100</f>
        <v>73843</v>
      </c>
      <c r="P50" s="77">
        <v>2.5</v>
      </c>
      <c r="Q50" s="78">
        <v>200</v>
      </c>
      <c r="R50" s="233">
        <v>250</v>
      </c>
      <c r="S50" s="233">
        <v>125</v>
      </c>
      <c r="T50" s="74"/>
      <c r="U50" s="79">
        <v>500</v>
      </c>
      <c r="V50" s="79">
        <v>100</v>
      </c>
      <c r="W50" s="151" t="s">
        <v>582</v>
      </c>
      <c r="X50" s="80" t="s">
        <v>585</v>
      </c>
    </row>
    <row r="51" spans="1:24" x14ac:dyDescent="0.25">
      <c r="A51" s="72">
        <v>67400</v>
      </c>
      <c r="B51" s="83" t="s">
        <v>534</v>
      </c>
      <c r="C51" s="17"/>
      <c r="D51" s="16" t="str">
        <f t="shared" si="0"/>
        <v/>
      </c>
      <c r="E51" s="16" t="str">
        <f t="shared" si="1"/>
        <v/>
      </c>
      <c r="F51" s="16" t="str">
        <f t="shared" si="8"/>
        <v/>
      </c>
      <c r="G51" s="16" t="str">
        <f t="shared" ref="G51" si="12">IF(C51&gt;=1, (K51-C51)*(1+$P51*$G$4/100)/$G$4+Q51+S51,"")</f>
        <v/>
      </c>
      <c r="H51" s="16" t="str">
        <f t="shared" si="7"/>
        <v/>
      </c>
      <c r="I51" s="16" t="str">
        <f t="shared" si="2"/>
        <v/>
      </c>
      <c r="J51" s="74"/>
      <c r="K51" s="75">
        <f>72087</f>
        <v>72087</v>
      </c>
      <c r="L51" s="76">
        <f>70544</f>
        <v>70544</v>
      </c>
      <c r="M51" s="76">
        <f>71058+1200</f>
        <v>72258</v>
      </c>
      <c r="N51" s="76">
        <f>71572+1200</f>
        <v>72772</v>
      </c>
      <c r="O51" s="76">
        <f>72087+1100</f>
        <v>73187</v>
      </c>
      <c r="P51" s="77">
        <v>2.5</v>
      </c>
      <c r="Q51" s="78">
        <v>200</v>
      </c>
      <c r="R51" s="233">
        <v>250</v>
      </c>
      <c r="S51" s="233">
        <v>125</v>
      </c>
      <c r="T51" s="74"/>
      <c r="U51" s="79">
        <v>500</v>
      </c>
      <c r="V51" s="79">
        <v>100</v>
      </c>
      <c r="W51" s="151" t="s">
        <v>582</v>
      </c>
      <c r="X51" s="80" t="s">
        <v>586</v>
      </c>
    </row>
    <row r="52" spans="1:24" x14ac:dyDescent="0.25">
      <c r="A52" s="72">
        <v>72400</v>
      </c>
      <c r="B52" s="83" t="s">
        <v>535</v>
      </c>
      <c r="C52" s="17"/>
      <c r="D52" s="16" t="str">
        <f t="shared" si="0"/>
        <v/>
      </c>
      <c r="E52" s="16" t="str">
        <f t="shared" si="1"/>
        <v/>
      </c>
      <c r="F52" s="16" t="str">
        <f t="shared" si="8"/>
        <v/>
      </c>
      <c r="G52" s="16" t="str">
        <f>IF(C52&gt;=1, (K52-C52)*(1+$P52*$G$4/100)/$G$4+Q52+S52,"")</f>
        <v/>
      </c>
      <c r="H52" s="16" t="str">
        <f t="shared" si="7"/>
        <v/>
      </c>
      <c r="I52" s="16" t="str">
        <f t="shared" si="2"/>
        <v/>
      </c>
      <c r="J52" s="74"/>
      <c r="K52" s="75">
        <f>76743</f>
        <v>76743</v>
      </c>
      <c r="L52" s="76">
        <f>74895</f>
        <v>74895</v>
      </c>
      <c r="M52" s="76">
        <f>75511+1200</f>
        <v>76711</v>
      </c>
      <c r="N52" s="76">
        <f>76127+1200</f>
        <v>77327</v>
      </c>
      <c r="O52" s="76">
        <f>76743+1100</f>
        <v>77843</v>
      </c>
      <c r="P52" s="77">
        <v>2.5</v>
      </c>
      <c r="Q52" s="78">
        <v>200</v>
      </c>
      <c r="R52" s="233">
        <v>250</v>
      </c>
      <c r="S52" s="233">
        <v>125</v>
      </c>
      <c r="T52" s="74"/>
      <c r="U52" s="79">
        <v>500</v>
      </c>
      <c r="V52" s="79">
        <v>100</v>
      </c>
      <c r="W52" s="151" t="s">
        <v>582</v>
      </c>
      <c r="X52" s="80" t="s">
        <v>587</v>
      </c>
    </row>
    <row r="53" spans="1:24" x14ac:dyDescent="0.25">
      <c r="A53" s="72">
        <v>65900</v>
      </c>
      <c r="B53" s="73" t="s">
        <v>77</v>
      </c>
      <c r="C53" s="17"/>
      <c r="D53" s="16" t="str">
        <f t="shared" si="0"/>
        <v/>
      </c>
      <c r="E53" s="16" t="str">
        <f t="shared" si="1"/>
        <v/>
      </c>
      <c r="F53" s="16" t="str">
        <f t="shared" si="8"/>
        <v/>
      </c>
      <c r="G53" s="16" t="str">
        <f>IF(C53&gt;=1, (K53-C53)*(1+$P53*$G$4/100)/$G$4+Q53+S53,"")</f>
        <v/>
      </c>
      <c r="H53" s="16" t="str">
        <f>IF(C53&gt;=1, (K53-C53)*(1+$P53*$H$4/100)/$H$4+Q53+S53, "")</f>
        <v/>
      </c>
      <c r="I53" s="16" t="str">
        <f>IF(C53&gt;=1, (K53-C53)*(1+$P53*$I$4/100)/$I$4+Q53+S53, "")</f>
        <v/>
      </c>
      <c r="J53" s="74"/>
      <c r="K53" s="75">
        <v>71195</v>
      </c>
      <c r="L53" s="76">
        <v>68350</v>
      </c>
      <c r="M53" s="76">
        <f>70199+60+240</f>
        <v>70499</v>
      </c>
      <c r="N53" s="76">
        <f>71148+60+240</f>
        <v>71448</v>
      </c>
      <c r="O53" s="76">
        <f>71995+60+240</f>
        <v>72295</v>
      </c>
      <c r="P53" s="77">
        <v>2.17</v>
      </c>
      <c r="Q53" s="78"/>
      <c r="R53" s="233">
        <v>250</v>
      </c>
      <c r="S53" s="233">
        <v>125</v>
      </c>
      <c r="T53" s="74"/>
      <c r="U53" s="79">
        <v>350</v>
      </c>
      <c r="V53" s="79">
        <v>100</v>
      </c>
      <c r="W53" s="80"/>
      <c r="X53" s="80"/>
    </row>
    <row r="54" spans="1:24" x14ac:dyDescent="0.25">
      <c r="A54" s="72">
        <v>229000</v>
      </c>
      <c r="B54" s="83" t="s">
        <v>465</v>
      </c>
      <c r="C54" s="17"/>
      <c r="D54" s="16" t="str">
        <f>IF(C54&gt;=1,(K54-C54)*(1+P54*$D$4/100)/$D$4+Q54+R54,"")</f>
        <v/>
      </c>
      <c r="E54" s="16" t="str">
        <f t="shared" si="1"/>
        <v/>
      </c>
      <c r="F54" s="16" t="str">
        <f t="shared" si="8"/>
        <v/>
      </c>
      <c r="G54" s="16" t="str">
        <f>IF(C54&gt;=1, (K54-C54)*(1+$P54*$G$4/100)/$G$4+Q54+S54,"")</f>
        <v/>
      </c>
      <c r="H54" s="231"/>
      <c r="I54" s="231"/>
      <c r="J54" s="74"/>
      <c r="K54" s="75">
        <f>233189</f>
        <v>233189</v>
      </c>
      <c r="L54" s="76">
        <f>229592</f>
        <v>229592</v>
      </c>
      <c r="M54" s="76">
        <f>230791+1200</f>
        <v>231991</v>
      </c>
      <c r="N54" s="76">
        <f>231990+1200</f>
        <v>233190</v>
      </c>
      <c r="O54" s="76">
        <f>233189+1100</f>
        <v>234289</v>
      </c>
      <c r="P54" s="77">
        <v>2.17</v>
      </c>
      <c r="Q54" s="78"/>
      <c r="R54" s="233">
        <v>250</v>
      </c>
      <c r="S54" s="233">
        <v>125</v>
      </c>
      <c r="T54" s="74"/>
      <c r="U54" s="79">
        <v>500</v>
      </c>
      <c r="V54" s="79">
        <v>100</v>
      </c>
      <c r="W54" s="151" t="s">
        <v>463</v>
      </c>
      <c r="X54" s="80" t="s">
        <v>464</v>
      </c>
    </row>
    <row r="55" spans="1:24" x14ac:dyDescent="0.25">
      <c r="A55" s="84"/>
      <c r="B55" s="74"/>
      <c r="C55" s="45"/>
      <c r="D55" s="46"/>
      <c r="E55" s="46"/>
      <c r="F55" s="46"/>
      <c r="G55" s="46"/>
      <c r="H55" s="46"/>
      <c r="I55" s="46"/>
      <c r="J55" s="74"/>
      <c r="K55" s="85"/>
      <c r="L55" s="86"/>
      <c r="M55" s="86"/>
      <c r="N55" s="86"/>
      <c r="O55" s="86"/>
      <c r="P55" s="77"/>
      <c r="Q55" s="78"/>
      <c r="R55" s="78"/>
      <c r="S55" s="78"/>
      <c r="T55" s="74"/>
      <c r="U55" s="79"/>
      <c r="V55" s="79"/>
      <c r="W55" s="80"/>
      <c r="X55" s="80"/>
    </row>
    <row r="56" spans="1:24" s="52" customFormat="1" x14ac:dyDescent="0.25">
      <c r="A56" s="63" t="s">
        <v>0</v>
      </c>
      <c r="B56" s="62" t="s">
        <v>47</v>
      </c>
      <c r="C56" s="87" t="s">
        <v>80</v>
      </c>
      <c r="D56" s="63">
        <v>6</v>
      </c>
      <c r="E56" s="51">
        <v>12</v>
      </c>
      <c r="F56" s="51">
        <v>18</v>
      </c>
      <c r="G56" s="51">
        <v>24</v>
      </c>
      <c r="H56" s="51">
        <v>30</v>
      </c>
      <c r="I56" s="51">
        <v>36</v>
      </c>
      <c r="K56" s="51" t="s">
        <v>2</v>
      </c>
      <c r="L56" s="51" t="s">
        <v>1</v>
      </c>
      <c r="M56" s="51" t="s">
        <v>3</v>
      </c>
      <c r="N56" s="51" t="s">
        <v>4</v>
      </c>
      <c r="O56" s="51" t="s">
        <v>5</v>
      </c>
      <c r="P56" s="253" t="s">
        <v>6</v>
      </c>
      <c r="Q56" s="254"/>
      <c r="R56" s="236">
        <v>6</v>
      </c>
      <c r="S56" s="236" t="s">
        <v>523</v>
      </c>
      <c r="T56" s="53"/>
      <c r="U56" s="255" t="s">
        <v>7</v>
      </c>
      <c r="V56" s="256"/>
      <c r="W56" s="58" t="s">
        <v>152</v>
      </c>
      <c r="X56" s="58"/>
    </row>
    <row r="57" spans="1:24" ht="15" customHeight="1" x14ac:dyDescent="0.25">
      <c r="A57" s="280" t="s">
        <v>11</v>
      </c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71"/>
      <c r="X57" s="71"/>
    </row>
    <row r="58" spans="1:24" x14ac:dyDescent="0.25">
      <c r="A58" s="88">
        <v>91000</v>
      </c>
      <c r="B58" s="230" t="s">
        <v>410</v>
      </c>
      <c r="C58" s="18">
        <v>25000</v>
      </c>
      <c r="D58" s="19">
        <f>IF(C58&gt;=1,(K58-C58)*(1+P58*$D$4/100)/$D$4+Q58+R58,"")</f>
        <v>13558.104999999998</v>
      </c>
      <c r="E58" s="19">
        <f>IF(C58&gt;=1,(K58-C58)*(1+P58*$E$4/100)/$E$4+Q58+S58,"")</f>
        <v>7545.6049999999996</v>
      </c>
      <c r="F58" s="19">
        <f>IF(C58&gt;=1,(K58-C58)*(1+$P58*$F$4/100)/$F$4+Q58+S58, "")</f>
        <v>5583.1049999999996</v>
      </c>
      <c r="G58" s="19">
        <f>IF(C58&gt;=1, (K58-C58)*(1+$P58*$G$4/100)/$G$4+Q58+S58,"")</f>
        <v>4601.8549999999996</v>
      </c>
      <c r="H58" s="19">
        <f>IF(C58&gt;=1, (K58-C58)*(1+$P58*$H$4/100)/$H$4+Q58+S58, "")</f>
        <v>4013.1049999999991</v>
      </c>
      <c r="I58" s="19">
        <f>IF(C58&gt;=1, (K58-C58)*(1+$P58*$I$4/100)/$I$4+Q58+S58, "")</f>
        <v>3620.6050000000005</v>
      </c>
      <c r="J58" s="90"/>
      <c r="K58" s="91">
        <f>95650</f>
        <v>95650</v>
      </c>
      <c r="L58" s="91">
        <f>93175</f>
        <v>93175</v>
      </c>
      <c r="M58" s="91">
        <f>94000+1200</f>
        <v>95200</v>
      </c>
      <c r="N58" s="91">
        <f>94825+1200</f>
        <v>96025</v>
      </c>
      <c r="O58" s="91">
        <f>95650+1100</f>
        <v>96750</v>
      </c>
      <c r="P58" s="92">
        <v>2.17</v>
      </c>
      <c r="Q58" s="93"/>
      <c r="R58" s="237">
        <v>250</v>
      </c>
      <c r="S58" s="237">
        <v>125</v>
      </c>
      <c r="T58" s="90"/>
      <c r="U58" s="52">
        <v>350</v>
      </c>
      <c r="V58" s="52">
        <v>100</v>
      </c>
      <c r="W58" s="152" t="s">
        <v>481</v>
      </c>
      <c r="X58" s="94" t="s">
        <v>482</v>
      </c>
    </row>
    <row r="59" spans="1:24" x14ac:dyDescent="0.25">
      <c r="A59" s="88">
        <v>95000</v>
      </c>
      <c r="B59" s="227" t="s">
        <v>411</v>
      </c>
      <c r="C59" s="18"/>
      <c r="D59" s="19" t="str">
        <f t="shared" ref="D59:D78" si="13">IF(C59&gt;=1,(K59-C59)*(1+P59*$D$4/100)/$D$4+Q59+R59,"")</f>
        <v/>
      </c>
      <c r="E59" s="19" t="str">
        <f t="shared" ref="E59:E78" si="14">IF(C59&gt;=1,(K59-C59)*(1+P59*$E$4/100)/$E$4+Q59+S59,"")</f>
        <v/>
      </c>
      <c r="F59" s="19" t="str">
        <f t="shared" ref="F59:F78" si="15">IF(C59&gt;=1,(K59-C59)*(1+$P59*$F$4/100)/$F$4+Q59+S59, "")</f>
        <v/>
      </c>
      <c r="G59" s="19" t="str">
        <f t="shared" ref="G59:G94" si="16">IF(C59&gt;=1, (K59-C59)*(1+$P59*$G$4/100)/$G$4+Q59+S59,"")</f>
        <v/>
      </c>
      <c r="H59" s="19" t="str">
        <f t="shared" ref="H59:H94" si="17">IF(C59&gt;=1, (K59-C59)*(1+$P59*$H$4/100)/$H$4+Q59+S59, "")</f>
        <v/>
      </c>
      <c r="I59" s="19" t="str">
        <f t="shared" ref="I59:I94" si="18">IF(C59&gt;=1, (K59-C59)*(1+$P59*$I$4/100)/$I$4+Q59+S59, "")</f>
        <v/>
      </c>
      <c r="J59" s="90"/>
      <c r="K59" s="91">
        <f>99598</f>
        <v>99598</v>
      </c>
      <c r="L59" s="91">
        <f>97873</f>
        <v>97873</v>
      </c>
      <c r="M59" s="91">
        <f>98448+1200</f>
        <v>99648</v>
      </c>
      <c r="N59" s="91">
        <f>99023+1200</f>
        <v>100223</v>
      </c>
      <c r="O59" s="91">
        <f>99598+1100</f>
        <v>100698</v>
      </c>
      <c r="P59" s="92">
        <v>2.17</v>
      </c>
      <c r="Q59" s="93"/>
      <c r="R59" s="237">
        <v>250</v>
      </c>
      <c r="S59" s="237">
        <v>125</v>
      </c>
      <c r="T59" s="90"/>
      <c r="U59" s="52">
        <v>350</v>
      </c>
      <c r="V59" s="52">
        <v>100</v>
      </c>
      <c r="W59" s="152" t="s">
        <v>481</v>
      </c>
      <c r="X59" s="94" t="s">
        <v>483</v>
      </c>
    </row>
    <row r="60" spans="1:24" x14ac:dyDescent="0.25">
      <c r="A60" s="88">
        <v>91500</v>
      </c>
      <c r="B60" s="230" t="s">
        <v>638</v>
      </c>
      <c r="C60" s="18">
        <v>20000</v>
      </c>
      <c r="D60" s="19">
        <f>IF(C60&gt;=1,(K60-C60)*(1+P60*$D$4/100)/$D$4+Q60+R60,"")</f>
        <v>14594.121666666666</v>
      </c>
      <c r="E60" s="19">
        <f>IF(C60&gt;=1,(K60-C60)*(1+P60*$E$4/100)/$E$4+Q60+S60,"")</f>
        <v>8123.288333333333</v>
      </c>
      <c r="F60" s="19">
        <f>IF(C60&gt;=1,(K60-C60)*(1+$P60*$F$4/100)/$F$4+Q60+S60, "")</f>
        <v>6008.0105555555556</v>
      </c>
      <c r="G60" s="19">
        <f>IF(C60&gt;=1, (K60-C60)*(1+$P60*$G$4/100)/$G$4+Q60+S60,"")</f>
        <v>4950.3716666666669</v>
      </c>
      <c r="H60" s="19">
        <f>IF(C60&gt;=1, (K60-C60)*(1+$P60*$H$4/100)/$H$4+Q60+S60, "")</f>
        <v>4315.788333333333</v>
      </c>
      <c r="I60" s="19">
        <f>IF(C60&gt;=1, (K60-C60)*(1+$P60*$I$4/100)/$I$4+Q60+S60, "")</f>
        <v>3892.7327777777778</v>
      </c>
      <c r="J60" s="90"/>
      <c r="K60" s="91">
        <f>96150</f>
        <v>96150</v>
      </c>
      <c r="L60" s="91">
        <f>93675</f>
        <v>93675</v>
      </c>
      <c r="M60" s="91">
        <f>94500+1200</f>
        <v>95700</v>
      </c>
      <c r="N60" s="91">
        <f>95325+1200</f>
        <v>96525</v>
      </c>
      <c r="O60" s="91">
        <f>96150+1100</f>
        <v>97250</v>
      </c>
      <c r="P60" s="92">
        <v>2.17</v>
      </c>
      <c r="Q60" s="93"/>
      <c r="R60" s="237">
        <v>250</v>
      </c>
      <c r="S60" s="237">
        <v>125</v>
      </c>
      <c r="T60" s="90"/>
      <c r="U60" s="52">
        <v>350</v>
      </c>
      <c r="V60" s="52">
        <v>100</v>
      </c>
      <c r="W60" s="152" t="s">
        <v>632</v>
      </c>
      <c r="X60" s="94" t="s">
        <v>639</v>
      </c>
    </row>
    <row r="61" spans="1:24" x14ac:dyDescent="0.25">
      <c r="A61" s="88">
        <v>95500</v>
      </c>
      <c r="B61" s="227" t="s">
        <v>636</v>
      </c>
      <c r="C61" s="18">
        <v>20000</v>
      </c>
      <c r="D61" s="19">
        <f t="shared" ref="D61" si="19">IF(C61&gt;=1,(K61-C61)*(1+P61*$D$4/100)/$D$4+Q61+R61,"")</f>
        <v>15337.793266666666</v>
      </c>
      <c r="E61" s="19">
        <f t="shared" ref="E61" si="20">IF(C61&gt;=1,(K61-C61)*(1+P61*$E$4/100)/$E$4+Q61+S61,"")</f>
        <v>8537.9599333333335</v>
      </c>
      <c r="F61" s="19">
        <f t="shared" ref="F61" si="21">IF(C61&gt;=1,(K61-C61)*(1+$P61*$F$4/100)/$F$4+Q61+S61, "")</f>
        <v>6313.0154888888892</v>
      </c>
      <c r="G61" s="19">
        <f t="shared" ref="G61" si="22">IF(C61&gt;=1, (K61-C61)*(1+$P61*$G$4/100)/$G$4+Q61+S61,"")</f>
        <v>5200.5432666666666</v>
      </c>
      <c r="H61" s="19">
        <f t="shared" ref="H61" si="23">IF(C61&gt;=1, (K61-C61)*(1+$P61*$H$4/100)/$H$4+Q61+S61, "")</f>
        <v>4533.059933333333</v>
      </c>
      <c r="I61" s="19">
        <f t="shared" ref="I61" si="24">IF(C61&gt;=1, (K61-C61)*(1+$P61*$I$4/100)/$I$4+Q61+S61, "")</f>
        <v>4088.0710444444444</v>
      </c>
      <c r="J61" s="90"/>
      <c r="K61" s="91">
        <f>100098</f>
        <v>100098</v>
      </c>
      <c r="L61" s="91">
        <f>98373</f>
        <v>98373</v>
      </c>
      <c r="M61" s="91">
        <f>98948+1200</f>
        <v>100148</v>
      </c>
      <c r="N61" s="91">
        <f>99523+1200</f>
        <v>100723</v>
      </c>
      <c r="O61" s="91">
        <f>100098+1100</f>
        <v>101198</v>
      </c>
      <c r="P61" s="92">
        <v>2.17</v>
      </c>
      <c r="Q61" s="93"/>
      <c r="R61" s="237">
        <v>250</v>
      </c>
      <c r="S61" s="237">
        <v>125</v>
      </c>
      <c r="T61" s="90"/>
      <c r="U61" s="52">
        <v>350</v>
      </c>
      <c r="V61" s="52">
        <v>100</v>
      </c>
      <c r="W61" s="152" t="s">
        <v>632</v>
      </c>
      <c r="X61" s="94" t="s">
        <v>637</v>
      </c>
    </row>
    <row r="62" spans="1:24" x14ac:dyDescent="0.25">
      <c r="A62" s="88">
        <v>96500</v>
      </c>
      <c r="B62" s="227" t="s">
        <v>412</v>
      </c>
      <c r="C62" s="18"/>
      <c r="D62" s="19" t="str">
        <f t="shared" si="13"/>
        <v/>
      </c>
      <c r="E62" s="19" t="str">
        <f t="shared" si="14"/>
        <v/>
      </c>
      <c r="F62" s="19" t="str">
        <f t="shared" si="15"/>
        <v/>
      </c>
      <c r="G62" s="19" t="str">
        <f t="shared" si="16"/>
        <v/>
      </c>
      <c r="H62" s="19" t="str">
        <f t="shared" si="17"/>
        <v/>
      </c>
      <c r="I62" s="19" t="str">
        <f t="shared" si="18"/>
        <v/>
      </c>
      <c r="J62" s="90"/>
      <c r="K62" s="91">
        <f>101150</f>
        <v>101150</v>
      </c>
      <c r="L62" s="91">
        <f>99179</f>
        <v>99179</v>
      </c>
      <c r="M62" s="91">
        <f>99836+1200</f>
        <v>101036</v>
      </c>
      <c r="N62" s="91">
        <f>100493+1200</f>
        <v>101693</v>
      </c>
      <c r="O62" s="91">
        <f>101150+1100</f>
        <v>102250</v>
      </c>
      <c r="P62" s="92">
        <v>2.17</v>
      </c>
      <c r="Q62" s="93"/>
      <c r="R62" s="237">
        <v>250</v>
      </c>
      <c r="S62" s="237">
        <v>125</v>
      </c>
      <c r="T62" s="90"/>
      <c r="U62" s="52">
        <v>350</v>
      </c>
      <c r="V62" s="52">
        <v>100</v>
      </c>
      <c r="W62" s="152" t="s">
        <v>481</v>
      </c>
      <c r="X62" s="94" t="s">
        <v>484</v>
      </c>
    </row>
    <row r="63" spans="1:24" x14ac:dyDescent="0.25">
      <c r="A63" s="88">
        <v>101000</v>
      </c>
      <c r="B63" s="227" t="s">
        <v>678</v>
      </c>
      <c r="C63" s="18">
        <v>35000</v>
      </c>
      <c r="D63" s="19">
        <f t="shared" si="13"/>
        <v>13548.309933333332</v>
      </c>
      <c r="E63" s="19">
        <f t="shared" si="14"/>
        <v>7540.143266666666</v>
      </c>
      <c r="F63" s="19">
        <f t="shared" si="15"/>
        <v>5579.0877111111113</v>
      </c>
      <c r="G63" s="19">
        <f t="shared" si="16"/>
        <v>4598.559933333333</v>
      </c>
      <c r="H63" s="19">
        <f t="shared" si="17"/>
        <v>4010.2432666666659</v>
      </c>
      <c r="I63" s="19">
        <f t="shared" si="18"/>
        <v>3618.0321555555556</v>
      </c>
      <c r="J63" s="90"/>
      <c r="K63" s="91">
        <f>105598</f>
        <v>105598</v>
      </c>
      <c r="L63" s="91">
        <f>103873</f>
        <v>103873</v>
      </c>
      <c r="M63" s="91">
        <f>104448+1200</f>
        <v>105648</v>
      </c>
      <c r="N63" s="91">
        <f>105023+1200</f>
        <v>106223</v>
      </c>
      <c r="O63" s="91">
        <f>105598+1100</f>
        <v>106698</v>
      </c>
      <c r="P63" s="92">
        <v>2.17</v>
      </c>
      <c r="Q63" s="93"/>
      <c r="R63" s="237">
        <v>250</v>
      </c>
      <c r="S63" s="237">
        <v>125</v>
      </c>
      <c r="T63" s="90"/>
      <c r="U63" s="52">
        <v>350</v>
      </c>
      <c r="V63" s="52">
        <v>100</v>
      </c>
      <c r="W63" s="152" t="s">
        <v>684</v>
      </c>
      <c r="X63" s="94" t="s">
        <v>685</v>
      </c>
    </row>
    <row r="64" spans="1:24" x14ac:dyDescent="0.25">
      <c r="A64" s="88">
        <v>75000</v>
      </c>
      <c r="B64" s="227" t="s">
        <v>626</v>
      </c>
      <c r="C64" s="18"/>
      <c r="D64" s="19" t="str">
        <f t="shared" si="13"/>
        <v/>
      </c>
      <c r="E64" s="19" t="str">
        <f t="shared" si="14"/>
        <v/>
      </c>
      <c r="F64" s="19" t="str">
        <f t="shared" si="15"/>
        <v/>
      </c>
      <c r="G64" s="19" t="str">
        <f t="shared" si="16"/>
        <v/>
      </c>
      <c r="H64" s="19" t="str">
        <f t="shared" si="17"/>
        <v/>
      </c>
      <c r="I64" s="19" t="str">
        <f t="shared" si="18"/>
        <v/>
      </c>
      <c r="J64" s="90"/>
      <c r="K64" s="91">
        <f>79722</f>
        <v>79722</v>
      </c>
      <c r="L64" s="91">
        <f>78204</f>
        <v>78204</v>
      </c>
      <c r="M64" s="91">
        <f>78710+1200</f>
        <v>79910</v>
      </c>
      <c r="N64" s="91">
        <f>79216+1200</f>
        <v>80416</v>
      </c>
      <c r="O64" s="91">
        <f>79722+1100</f>
        <v>80822</v>
      </c>
      <c r="P64" s="92">
        <v>2.17</v>
      </c>
      <c r="Q64" s="93"/>
      <c r="R64" s="237">
        <v>250</v>
      </c>
      <c r="S64" s="237">
        <v>125</v>
      </c>
      <c r="T64" s="90"/>
      <c r="U64" s="52">
        <v>350</v>
      </c>
      <c r="V64" s="52">
        <v>100</v>
      </c>
      <c r="W64" s="152" t="s">
        <v>624</v>
      </c>
      <c r="X64" s="94" t="s">
        <v>627</v>
      </c>
    </row>
    <row r="65" spans="1:24" x14ac:dyDescent="0.25">
      <c r="A65" s="88">
        <v>47900</v>
      </c>
      <c r="B65" s="95" t="s">
        <v>254</v>
      </c>
      <c r="C65" s="18"/>
      <c r="D65" s="19" t="str">
        <f t="shared" si="13"/>
        <v/>
      </c>
      <c r="E65" s="19" t="str">
        <f t="shared" si="14"/>
        <v/>
      </c>
      <c r="F65" s="19" t="str">
        <f t="shared" si="15"/>
        <v/>
      </c>
      <c r="G65" s="19" t="str">
        <f t="shared" si="16"/>
        <v/>
      </c>
      <c r="H65" s="19" t="str">
        <f t="shared" si="17"/>
        <v/>
      </c>
      <c r="I65" s="19" t="str">
        <f t="shared" si="18"/>
        <v/>
      </c>
      <c r="J65" s="90"/>
      <c r="K65" s="91">
        <v>53007</v>
      </c>
      <c r="L65" s="91">
        <v>51521</v>
      </c>
      <c r="M65" s="91">
        <f>52016+1200</f>
        <v>53216</v>
      </c>
      <c r="N65" s="91">
        <f>52511+1200</f>
        <v>53711</v>
      </c>
      <c r="O65" s="91">
        <f>53007+1100</f>
        <v>54107</v>
      </c>
      <c r="P65" s="92">
        <v>2.17</v>
      </c>
      <c r="Q65" s="93"/>
      <c r="R65" s="237">
        <v>250</v>
      </c>
      <c r="S65" s="237">
        <v>125</v>
      </c>
      <c r="T65" s="90"/>
      <c r="U65" s="52">
        <v>200</v>
      </c>
      <c r="V65" s="52">
        <v>50</v>
      </c>
      <c r="W65" s="152" t="s">
        <v>256</v>
      </c>
      <c r="X65" s="208" t="s">
        <v>255</v>
      </c>
    </row>
    <row r="66" spans="1:24" x14ac:dyDescent="0.25">
      <c r="A66" s="88">
        <v>56700</v>
      </c>
      <c r="B66" s="95" t="s">
        <v>576</v>
      </c>
      <c r="C66" s="18"/>
      <c r="D66" s="19" t="str">
        <f t="shared" si="13"/>
        <v/>
      </c>
      <c r="E66" s="19" t="str">
        <f t="shared" si="14"/>
        <v/>
      </c>
      <c r="F66" s="19" t="str">
        <f t="shared" si="15"/>
        <v/>
      </c>
      <c r="G66" s="19" t="str">
        <f t="shared" si="16"/>
        <v/>
      </c>
      <c r="H66" s="19" t="str">
        <f t="shared" si="17"/>
        <v/>
      </c>
      <c r="I66" s="19" t="str">
        <f t="shared" si="18"/>
        <v/>
      </c>
      <c r="J66" s="90"/>
      <c r="K66" s="91">
        <v>61807</v>
      </c>
      <c r="L66" s="91">
        <v>60321</v>
      </c>
      <c r="M66" s="91">
        <f>60816+1200</f>
        <v>62016</v>
      </c>
      <c r="N66" s="91">
        <f>61311+1200</f>
        <v>62511</v>
      </c>
      <c r="O66" s="91">
        <f>61807+1100</f>
        <v>62907</v>
      </c>
      <c r="P66" s="92">
        <v>2.17</v>
      </c>
      <c r="Q66" s="93"/>
      <c r="R66" s="237">
        <v>250</v>
      </c>
      <c r="S66" s="237">
        <v>125</v>
      </c>
      <c r="T66" s="90"/>
      <c r="U66" s="52">
        <v>200</v>
      </c>
      <c r="V66" s="52">
        <v>50</v>
      </c>
      <c r="W66" s="152" t="s">
        <v>577</v>
      </c>
      <c r="X66" s="208" t="s">
        <v>578</v>
      </c>
    </row>
    <row r="67" spans="1:24" x14ac:dyDescent="0.25">
      <c r="A67" s="88">
        <v>41900</v>
      </c>
      <c r="B67" s="95" t="s">
        <v>375</v>
      </c>
      <c r="C67" s="18"/>
      <c r="D67" s="19" t="str">
        <f t="shared" si="13"/>
        <v/>
      </c>
      <c r="E67" s="19" t="str">
        <f t="shared" si="14"/>
        <v/>
      </c>
      <c r="F67" s="19" t="str">
        <f t="shared" si="15"/>
        <v/>
      </c>
      <c r="G67" s="19" t="str">
        <f t="shared" si="16"/>
        <v/>
      </c>
      <c r="H67" s="19" t="str">
        <f t="shared" si="17"/>
        <v/>
      </c>
      <c r="I67" s="19" t="str">
        <f t="shared" si="18"/>
        <v/>
      </c>
      <c r="J67" s="90"/>
      <c r="K67" s="91">
        <v>48386</v>
      </c>
      <c r="L67" s="91">
        <v>46239</v>
      </c>
      <c r="M67" s="91">
        <f>46954+1200</f>
        <v>48154</v>
      </c>
      <c r="N67" s="91">
        <f>47671+1200</f>
        <v>48871</v>
      </c>
      <c r="O67" s="91">
        <f>48386+1100</f>
        <v>49486</v>
      </c>
      <c r="P67" s="92">
        <v>2.5</v>
      </c>
      <c r="Q67" s="93"/>
      <c r="R67" s="237">
        <v>250</v>
      </c>
      <c r="S67" s="237">
        <v>125</v>
      </c>
      <c r="T67" s="90"/>
      <c r="U67" s="52">
        <v>200</v>
      </c>
      <c r="V67" s="52">
        <v>100</v>
      </c>
      <c r="W67" s="94">
        <v>43367</v>
      </c>
      <c r="X67" s="94"/>
    </row>
    <row r="68" spans="1:24" x14ac:dyDescent="0.25">
      <c r="A68" s="88">
        <v>54200</v>
      </c>
      <c r="B68" s="95" t="s">
        <v>356</v>
      </c>
      <c r="C68" s="18">
        <v>30000</v>
      </c>
      <c r="D68" s="19">
        <f t="shared" si="13"/>
        <v>6131.4833333333327</v>
      </c>
      <c r="E68" s="19">
        <f t="shared" si="14"/>
        <v>3449.3166666666671</v>
      </c>
      <c r="F68" s="19">
        <f t="shared" si="15"/>
        <v>2596.9277777777775</v>
      </c>
      <c r="G68" s="19">
        <f t="shared" si="16"/>
        <v>2170.7333333333336</v>
      </c>
      <c r="H68" s="19">
        <f t="shared" si="17"/>
        <v>1915.0166666666667</v>
      </c>
      <c r="I68" s="19">
        <f t="shared" si="18"/>
        <v>1744.5388888888888</v>
      </c>
      <c r="J68" s="90"/>
      <c r="K68" s="91">
        <f>60686</f>
        <v>60686</v>
      </c>
      <c r="L68" s="91">
        <f>58539</f>
        <v>58539</v>
      </c>
      <c r="M68" s="91">
        <f>59254+1200</f>
        <v>60454</v>
      </c>
      <c r="N68" s="91">
        <f>59970+1200</f>
        <v>61170</v>
      </c>
      <c r="O68" s="91">
        <f>60686+1100</f>
        <v>61786</v>
      </c>
      <c r="P68" s="92">
        <v>2.5</v>
      </c>
      <c r="Q68" s="93"/>
      <c r="R68" s="237">
        <v>250</v>
      </c>
      <c r="S68" s="237">
        <v>125</v>
      </c>
      <c r="T68" s="90"/>
      <c r="U68" s="52">
        <v>200</v>
      </c>
      <c r="V68" s="52">
        <v>100</v>
      </c>
      <c r="W68" s="152" t="s">
        <v>634</v>
      </c>
      <c r="X68" s="94" t="s">
        <v>635</v>
      </c>
    </row>
    <row r="69" spans="1:24" x14ac:dyDescent="0.25">
      <c r="A69" s="88">
        <v>56200</v>
      </c>
      <c r="B69" s="95" t="s">
        <v>398</v>
      </c>
      <c r="C69" s="18"/>
      <c r="D69" s="19" t="str">
        <f t="shared" si="13"/>
        <v/>
      </c>
      <c r="E69" s="19" t="str">
        <f t="shared" si="14"/>
        <v/>
      </c>
      <c r="F69" s="19" t="str">
        <f t="shared" si="15"/>
        <v/>
      </c>
      <c r="G69" s="19" t="str">
        <f t="shared" si="16"/>
        <v/>
      </c>
      <c r="H69" s="19" t="str">
        <f t="shared" si="17"/>
        <v/>
      </c>
      <c r="I69" s="19" t="str">
        <f t="shared" si="18"/>
        <v/>
      </c>
      <c r="J69" s="90"/>
      <c r="K69" s="91">
        <f>61307</f>
        <v>61307</v>
      </c>
      <c r="L69" s="91">
        <f>59821</f>
        <v>59821</v>
      </c>
      <c r="M69" s="91">
        <f>60316+1200</f>
        <v>61516</v>
      </c>
      <c r="N69" s="91">
        <f>60811+1200</f>
        <v>62011</v>
      </c>
      <c r="O69" s="91">
        <f>61307+1100</f>
        <v>62407</v>
      </c>
      <c r="P69" s="92">
        <v>2.17</v>
      </c>
      <c r="Q69" s="93"/>
      <c r="R69" s="237">
        <v>250</v>
      </c>
      <c r="S69" s="237">
        <v>125</v>
      </c>
      <c r="T69" s="90"/>
      <c r="U69" s="52">
        <v>200</v>
      </c>
      <c r="V69" s="52">
        <v>50</v>
      </c>
      <c r="W69" s="152" t="s">
        <v>413</v>
      </c>
      <c r="X69" s="94" t="s">
        <v>414</v>
      </c>
    </row>
    <row r="70" spans="1:24" x14ac:dyDescent="0.25">
      <c r="A70" s="88">
        <v>50900</v>
      </c>
      <c r="B70" s="95" t="s">
        <v>276</v>
      </c>
      <c r="C70" s="18"/>
      <c r="D70" s="19" t="str">
        <f t="shared" si="13"/>
        <v/>
      </c>
      <c r="E70" s="19" t="str">
        <f t="shared" si="14"/>
        <v/>
      </c>
      <c r="F70" s="19" t="str">
        <f t="shared" si="15"/>
        <v/>
      </c>
      <c r="G70" s="19" t="str">
        <f t="shared" si="16"/>
        <v/>
      </c>
      <c r="H70" s="19" t="str">
        <f t="shared" si="17"/>
        <v/>
      </c>
      <c r="I70" s="19" t="str">
        <f t="shared" si="18"/>
        <v/>
      </c>
      <c r="J70" s="90"/>
      <c r="K70" s="91">
        <v>56724</v>
      </c>
      <c r="L70" s="91">
        <v>54664</v>
      </c>
      <c r="M70" s="91">
        <f>55350+1200</f>
        <v>56550</v>
      </c>
      <c r="N70" s="91">
        <f>56037+1200</f>
        <v>57237</v>
      </c>
      <c r="O70" s="91">
        <f>56724+1100</f>
        <v>57824</v>
      </c>
      <c r="P70" s="92">
        <v>2.17</v>
      </c>
      <c r="Q70" s="93"/>
      <c r="R70" s="237">
        <v>250</v>
      </c>
      <c r="S70" s="237">
        <v>125</v>
      </c>
      <c r="T70" s="90"/>
      <c r="U70" s="52">
        <v>200</v>
      </c>
      <c r="V70" s="52">
        <v>50</v>
      </c>
      <c r="W70" s="152" t="s">
        <v>277</v>
      </c>
      <c r="X70" s="94" t="s">
        <v>205</v>
      </c>
    </row>
    <row r="71" spans="1:24" x14ac:dyDescent="0.25">
      <c r="A71" s="88">
        <v>58700</v>
      </c>
      <c r="B71" s="95" t="s">
        <v>374</v>
      </c>
      <c r="C71" s="18"/>
      <c r="D71" s="19" t="str">
        <f t="shared" si="13"/>
        <v/>
      </c>
      <c r="E71" s="19" t="str">
        <f t="shared" si="14"/>
        <v/>
      </c>
      <c r="F71" s="19" t="str">
        <f t="shared" si="15"/>
        <v/>
      </c>
      <c r="G71" s="19" t="str">
        <f t="shared" si="16"/>
        <v/>
      </c>
      <c r="H71" s="19" t="str">
        <f t="shared" si="17"/>
        <v/>
      </c>
      <c r="I71" s="19" t="str">
        <f t="shared" si="18"/>
        <v/>
      </c>
      <c r="J71" s="90"/>
      <c r="K71" s="91">
        <f>64524</f>
        <v>64524</v>
      </c>
      <c r="L71" s="91">
        <f>62464</f>
        <v>62464</v>
      </c>
      <c r="M71" s="91">
        <f>63150+1200</f>
        <v>64350</v>
      </c>
      <c r="N71" s="91">
        <f>63837+1200</f>
        <v>65037</v>
      </c>
      <c r="O71" s="91">
        <f>64524+1100</f>
        <v>65624</v>
      </c>
      <c r="P71" s="92">
        <v>2.17</v>
      </c>
      <c r="Q71" s="93"/>
      <c r="R71" s="237">
        <v>250</v>
      </c>
      <c r="S71" s="237">
        <v>125</v>
      </c>
      <c r="T71" s="90"/>
      <c r="U71" s="52">
        <v>200</v>
      </c>
      <c r="V71" s="52">
        <v>50</v>
      </c>
      <c r="W71" s="152" t="s">
        <v>413</v>
      </c>
      <c r="X71" s="94" t="s">
        <v>415</v>
      </c>
    </row>
    <row r="72" spans="1:24" x14ac:dyDescent="0.25">
      <c r="A72" s="88">
        <v>52900</v>
      </c>
      <c r="B72" s="95" t="s">
        <v>287</v>
      </c>
      <c r="C72" s="18"/>
      <c r="D72" s="19" t="str">
        <f t="shared" si="13"/>
        <v/>
      </c>
      <c r="E72" s="19" t="str">
        <f t="shared" si="14"/>
        <v/>
      </c>
      <c r="F72" s="19" t="str">
        <f t="shared" si="15"/>
        <v/>
      </c>
      <c r="G72" s="19" t="str">
        <f t="shared" si="16"/>
        <v/>
      </c>
      <c r="H72" s="19" t="str">
        <f t="shared" si="17"/>
        <v/>
      </c>
      <c r="I72" s="19" t="str">
        <f t="shared" si="18"/>
        <v/>
      </c>
      <c r="J72" s="90"/>
      <c r="K72" s="91">
        <v>58362</v>
      </c>
      <c r="L72" s="91">
        <v>57269</v>
      </c>
      <c r="M72" s="91">
        <f>57633+1200</f>
        <v>58833</v>
      </c>
      <c r="N72" s="91">
        <f>57997+1200</f>
        <v>59197</v>
      </c>
      <c r="O72" s="91">
        <f>58362+1100</f>
        <v>59462</v>
      </c>
      <c r="P72" s="92">
        <v>2.17</v>
      </c>
      <c r="Q72" s="93"/>
      <c r="R72" s="237">
        <v>250</v>
      </c>
      <c r="S72" s="237">
        <v>125</v>
      </c>
      <c r="T72" s="90"/>
      <c r="U72" s="52">
        <v>200</v>
      </c>
      <c r="V72" s="52">
        <v>100</v>
      </c>
      <c r="W72" s="94">
        <v>43367</v>
      </c>
      <c r="X72" s="94"/>
    </row>
    <row r="73" spans="1:24" x14ac:dyDescent="0.25">
      <c r="A73" s="88">
        <v>69500</v>
      </c>
      <c r="B73" s="95" t="s">
        <v>288</v>
      </c>
      <c r="C73" s="18">
        <v>30000</v>
      </c>
      <c r="D73" s="19">
        <f t="shared" si="13"/>
        <v>8638.9094999999998</v>
      </c>
      <c r="E73" s="19">
        <f t="shared" si="14"/>
        <v>4802.6594999999998</v>
      </c>
      <c r="F73" s="19">
        <f t="shared" si="15"/>
        <v>3565.5761666666667</v>
      </c>
      <c r="G73" s="19">
        <f t="shared" si="16"/>
        <v>2947.0344999999998</v>
      </c>
      <c r="H73" s="19">
        <f t="shared" si="17"/>
        <v>2575.9094999999998</v>
      </c>
      <c r="I73" s="19">
        <f t="shared" si="18"/>
        <v>2328.4928333333332</v>
      </c>
      <c r="J73" s="90"/>
      <c r="K73" s="91">
        <f>74535</f>
        <v>74535</v>
      </c>
      <c r="L73" s="91">
        <f>73342</f>
        <v>73342</v>
      </c>
      <c r="M73" s="91">
        <f>73739+1200</f>
        <v>74939</v>
      </c>
      <c r="N73" s="91">
        <f>74137+1200</f>
        <v>75337</v>
      </c>
      <c r="O73" s="91">
        <f>74535+1100</f>
        <v>75635</v>
      </c>
      <c r="P73" s="92">
        <v>2.17</v>
      </c>
      <c r="Q73" s="93"/>
      <c r="R73" s="237">
        <v>250</v>
      </c>
      <c r="S73" s="237">
        <v>125</v>
      </c>
      <c r="T73" s="90"/>
      <c r="U73" s="52">
        <v>200</v>
      </c>
      <c r="V73" s="52">
        <v>100</v>
      </c>
      <c r="W73" s="152" t="s">
        <v>632</v>
      </c>
      <c r="X73" s="94" t="s">
        <v>633</v>
      </c>
    </row>
    <row r="74" spans="1:24" x14ac:dyDescent="0.25">
      <c r="A74" s="88">
        <v>175000</v>
      </c>
      <c r="B74" s="89" t="s">
        <v>188</v>
      </c>
      <c r="C74" s="18"/>
      <c r="D74" s="19" t="str">
        <f t="shared" si="13"/>
        <v/>
      </c>
      <c r="E74" s="19" t="str">
        <f t="shared" si="14"/>
        <v/>
      </c>
      <c r="F74" s="19" t="str">
        <f t="shared" si="15"/>
        <v/>
      </c>
      <c r="G74" s="19" t="str">
        <f t="shared" si="16"/>
        <v/>
      </c>
      <c r="H74" s="19" t="str">
        <f t="shared" si="17"/>
        <v/>
      </c>
      <c r="I74" s="19" t="str">
        <f t="shared" si="18"/>
        <v/>
      </c>
      <c r="J74" s="90"/>
      <c r="K74" s="91">
        <v>179917</v>
      </c>
      <c r="L74" s="91">
        <v>176681</v>
      </c>
      <c r="M74" s="91">
        <f>177759+1200</f>
        <v>178959</v>
      </c>
      <c r="N74" s="91">
        <f>178837+1200</f>
        <v>180037</v>
      </c>
      <c r="O74" s="91">
        <f>179917+1100</f>
        <v>181017</v>
      </c>
      <c r="P74" s="92">
        <v>2.5</v>
      </c>
      <c r="Q74" s="93"/>
      <c r="R74" s="237">
        <v>250</v>
      </c>
      <c r="S74" s="237">
        <v>125</v>
      </c>
      <c r="T74" s="90"/>
      <c r="U74" s="52">
        <v>350</v>
      </c>
      <c r="V74" s="52">
        <v>100</v>
      </c>
      <c r="W74" s="152" t="s">
        <v>190</v>
      </c>
      <c r="X74" s="152"/>
    </row>
    <row r="75" spans="1:24" x14ac:dyDescent="0.25">
      <c r="A75" s="88">
        <v>199900</v>
      </c>
      <c r="B75" s="89" t="s">
        <v>357</v>
      </c>
      <c r="C75" s="18"/>
      <c r="D75" s="19" t="str">
        <f t="shared" si="13"/>
        <v/>
      </c>
      <c r="E75" s="19" t="str">
        <f t="shared" si="14"/>
        <v/>
      </c>
      <c r="F75" s="19" t="str">
        <f t="shared" si="15"/>
        <v/>
      </c>
      <c r="G75" s="19" t="str">
        <f t="shared" si="16"/>
        <v/>
      </c>
      <c r="H75" s="19" t="str">
        <f t="shared" si="17"/>
        <v/>
      </c>
      <c r="I75" s="19" t="str">
        <f t="shared" si="18"/>
        <v/>
      </c>
      <c r="J75" s="90"/>
      <c r="K75" s="91">
        <v>204817</v>
      </c>
      <c r="L75" s="91">
        <v>201581</v>
      </c>
      <c r="M75" s="91">
        <f>202659+1200</f>
        <v>203859</v>
      </c>
      <c r="N75" s="91">
        <f>203738+1200</f>
        <v>204938</v>
      </c>
      <c r="O75" s="91">
        <f>204817+1100</f>
        <v>205917</v>
      </c>
      <c r="P75" s="92">
        <v>2.5</v>
      </c>
      <c r="Q75" s="93"/>
      <c r="R75" s="237">
        <v>250</v>
      </c>
      <c r="S75" s="237">
        <v>125</v>
      </c>
      <c r="T75" s="90"/>
      <c r="U75" s="52">
        <v>350</v>
      </c>
      <c r="V75" s="52">
        <v>100</v>
      </c>
      <c r="W75" s="152" t="s">
        <v>413</v>
      </c>
      <c r="X75" s="152" t="s">
        <v>420</v>
      </c>
    </row>
    <row r="76" spans="1:24" x14ac:dyDescent="0.25">
      <c r="A76" s="88">
        <v>208900</v>
      </c>
      <c r="B76" s="89" t="s">
        <v>509</v>
      </c>
      <c r="C76" s="18"/>
      <c r="D76" s="19" t="str">
        <f>IF(C76&gt;=1,(K76-C76)*(1+P76*$D$4/100)/$D$4+Q76+R76,"")</f>
        <v/>
      </c>
      <c r="E76" s="19" t="str">
        <f t="shared" si="14"/>
        <v/>
      </c>
      <c r="F76" s="19" t="str">
        <f t="shared" si="15"/>
        <v/>
      </c>
      <c r="G76" s="19" t="str">
        <f t="shared" si="16"/>
        <v/>
      </c>
      <c r="H76" s="19" t="str">
        <f t="shared" si="17"/>
        <v/>
      </c>
      <c r="I76" s="19" t="str">
        <f t="shared" si="18"/>
        <v/>
      </c>
      <c r="J76" s="90"/>
      <c r="K76" s="91">
        <f>213817</f>
        <v>213817</v>
      </c>
      <c r="L76" s="91">
        <f>210581</f>
        <v>210581</v>
      </c>
      <c r="M76" s="91">
        <f>211659+1200</f>
        <v>212859</v>
      </c>
      <c r="N76" s="91">
        <f>212738+1200</f>
        <v>213938</v>
      </c>
      <c r="O76" s="91">
        <f>213817+1100</f>
        <v>214917</v>
      </c>
      <c r="P76" s="92">
        <v>2.5</v>
      </c>
      <c r="Q76" s="93"/>
      <c r="R76" s="237">
        <v>250</v>
      </c>
      <c r="S76" s="237">
        <v>125</v>
      </c>
      <c r="T76" s="90"/>
      <c r="U76" s="52">
        <v>350</v>
      </c>
      <c r="V76" s="52">
        <v>100</v>
      </c>
      <c r="W76" s="152" t="s">
        <v>510</v>
      </c>
      <c r="X76" s="152" t="s">
        <v>511</v>
      </c>
    </row>
    <row r="77" spans="1:24" x14ac:dyDescent="0.25">
      <c r="A77" s="88">
        <v>65400</v>
      </c>
      <c r="B77" s="89" t="s">
        <v>192</v>
      </c>
      <c r="C77" s="18"/>
      <c r="D77" s="19" t="str">
        <f t="shared" si="13"/>
        <v/>
      </c>
      <c r="E77" s="19" t="str">
        <f t="shared" si="14"/>
        <v/>
      </c>
      <c r="F77" s="19" t="str">
        <f t="shared" si="15"/>
        <v/>
      </c>
      <c r="G77" s="19" t="str">
        <f t="shared" si="16"/>
        <v/>
      </c>
      <c r="H77" s="19" t="str">
        <f t="shared" si="17"/>
        <v/>
      </c>
      <c r="I77" s="19" t="str">
        <f>IF(C77&gt;=1, (K77-C77)*(1+$P77*$I$4/100)/$I$4+Q77+S77, "")</f>
        <v/>
      </c>
      <c r="J77" s="90"/>
      <c r="K77" s="91">
        <v>72744</v>
      </c>
      <c r="L77" s="91">
        <v>70062</v>
      </c>
      <c r="M77" s="91">
        <f>69956+1000+1200</f>
        <v>72156</v>
      </c>
      <c r="N77" s="91">
        <f>70850+1000+1200</f>
        <v>73050</v>
      </c>
      <c r="O77" s="91">
        <f>71744+1000+1100</f>
        <v>73844</v>
      </c>
      <c r="P77" s="92">
        <v>2.17</v>
      </c>
      <c r="Q77" s="93"/>
      <c r="R77" s="237">
        <v>250</v>
      </c>
      <c r="S77" s="237">
        <v>125</v>
      </c>
      <c r="T77" s="90"/>
      <c r="U77" s="52">
        <v>400</v>
      </c>
      <c r="V77" s="52">
        <v>100</v>
      </c>
      <c r="W77" s="152" t="s">
        <v>193</v>
      </c>
      <c r="X77" s="152"/>
    </row>
    <row r="78" spans="1:24" x14ac:dyDescent="0.25">
      <c r="A78" s="88">
        <v>75900</v>
      </c>
      <c r="B78" s="89" t="s">
        <v>218</v>
      </c>
      <c r="C78" s="18"/>
      <c r="D78" s="19" t="str">
        <f t="shared" si="13"/>
        <v/>
      </c>
      <c r="E78" s="19" t="str">
        <f t="shared" si="14"/>
        <v/>
      </c>
      <c r="F78" s="19" t="str">
        <f t="shared" si="15"/>
        <v/>
      </c>
      <c r="G78" s="19" t="str">
        <f t="shared" si="16"/>
        <v/>
      </c>
      <c r="H78" s="19" t="str">
        <f t="shared" si="17"/>
        <v/>
      </c>
      <c r="I78" s="19" t="str">
        <f t="shared" si="18"/>
        <v/>
      </c>
      <c r="J78" s="90"/>
      <c r="K78" s="91">
        <v>83244</v>
      </c>
      <c r="L78" s="91">
        <v>80562</v>
      </c>
      <c r="M78" s="91">
        <f>81456+1200</f>
        <v>82656</v>
      </c>
      <c r="N78" s="91">
        <f>82350+1200</f>
        <v>83550</v>
      </c>
      <c r="O78" s="91">
        <f>83244+1100</f>
        <v>84344</v>
      </c>
      <c r="P78" s="92">
        <v>2.17</v>
      </c>
      <c r="Q78" s="93"/>
      <c r="R78" s="237">
        <v>250</v>
      </c>
      <c r="S78" s="237">
        <v>125</v>
      </c>
      <c r="T78" s="90"/>
      <c r="U78" s="52">
        <v>200</v>
      </c>
      <c r="V78" s="52">
        <v>100</v>
      </c>
      <c r="W78" s="94">
        <v>43773</v>
      </c>
      <c r="X78" s="94" t="s">
        <v>219</v>
      </c>
    </row>
    <row r="79" spans="1:24" x14ac:dyDescent="0.25">
      <c r="A79" s="88">
        <v>150000</v>
      </c>
      <c r="B79" s="95" t="s">
        <v>486</v>
      </c>
      <c r="C79" s="18"/>
      <c r="D79" s="231"/>
      <c r="E79" s="231"/>
      <c r="F79" s="231"/>
      <c r="G79" s="231"/>
      <c r="H79" s="231"/>
      <c r="I79" s="231"/>
      <c r="J79" s="90"/>
      <c r="K79" s="91"/>
      <c r="L79" s="91">
        <v>150000</v>
      </c>
      <c r="M79" s="91"/>
      <c r="N79" s="91"/>
      <c r="O79" s="91"/>
      <c r="P79" s="92"/>
      <c r="Q79" s="93"/>
      <c r="R79" s="237"/>
      <c r="S79" s="237"/>
      <c r="T79" s="90"/>
      <c r="U79" s="52"/>
      <c r="V79" s="52"/>
      <c r="W79" s="94">
        <v>45043</v>
      </c>
      <c r="X79" s="94" t="s">
        <v>485</v>
      </c>
    </row>
    <row r="80" spans="1:24" x14ac:dyDescent="0.25">
      <c r="A80" s="88">
        <v>160000</v>
      </c>
      <c r="B80" s="95" t="s">
        <v>487</v>
      </c>
      <c r="C80" s="18"/>
      <c r="D80" s="231"/>
      <c r="E80" s="231"/>
      <c r="F80" s="231"/>
      <c r="G80" s="231"/>
      <c r="H80" s="231"/>
      <c r="I80" s="231"/>
      <c r="J80" s="90"/>
      <c r="K80" s="91"/>
      <c r="L80" s="91">
        <v>160000</v>
      </c>
      <c r="M80" s="91"/>
      <c r="N80" s="91"/>
      <c r="O80" s="91"/>
      <c r="P80" s="92"/>
      <c r="Q80" s="93"/>
      <c r="R80" s="237"/>
      <c r="S80" s="237"/>
      <c r="T80" s="90"/>
      <c r="U80" s="52"/>
      <c r="V80" s="52"/>
      <c r="W80" s="94">
        <v>45043</v>
      </c>
      <c r="X80" s="94" t="s">
        <v>488</v>
      </c>
    </row>
    <row r="81" spans="1:24" x14ac:dyDescent="0.25">
      <c r="A81" s="88">
        <v>122500</v>
      </c>
      <c r="B81" s="89" t="s">
        <v>232</v>
      </c>
      <c r="C81" s="18"/>
      <c r="D81" s="19" t="str">
        <f>IF(C81&gt;=1,(K81-C81)*(1+P81*$D$4/100)/$D$4+Q81+R81,"")</f>
        <v/>
      </c>
      <c r="E81" s="19" t="str">
        <f>IF(C81&gt;=1,(K81-C81)*(1+P81*$E$4/100)/$E$4+Q81+S81,"")</f>
        <v/>
      </c>
      <c r="F81" s="19" t="str">
        <f>IF(C81&gt;=1,(K81-C81)*(1+$P81*$F$4/100)/$F$4+Q81+S81, "")</f>
        <v/>
      </c>
      <c r="G81" s="19" t="str">
        <f t="shared" si="16"/>
        <v/>
      </c>
      <c r="H81" s="231"/>
      <c r="I81" s="231"/>
      <c r="J81" s="90"/>
      <c r="K81" s="91">
        <v>127119</v>
      </c>
      <c r="L81" s="91">
        <v>127119</v>
      </c>
      <c r="M81" s="91">
        <f>128079+240</f>
        <v>128319</v>
      </c>
      <c r="N81" s="91">
        <f>128079+240</f>
        <v>128319</v>
      </c>
      <c r="O81" s="91">
        <f>128079+240</f>
        <v>128319</v>
      </c>
      <c r="P81" s="92">
        <v>2.5</v>
      </c>
      <c r="Q81" s="93"/>
      <c r="R81" s="237">
        <v>250</v>
      </c>
      <c r="S81" s="237">
        <v>125</v>
      </c>
      <c r="T81" s="90"/>
      <c r="U81" s="52">
        <v>200</v>
      </c>
      <c r="V81" s="52">
        <v>100</v>
      </c>
      <c r="W81" s="94">
        <v>43869</v>
      </c>
      <c r="X81" s="94" t="s">
        <v>205</v>
      </c>
    </row>
    <row r="82" spans="1:24" x14ac:dyDescent="0.25">
      <c r="A82" s="88">
        <v>132400</v>
      </c>
      <c r="B82" s="95" t="s">
        <v>371</v>
      </c>
      <c r="C82" s="18"/>
      <c r="D82" s="19" t="str">
        <f t="shared" ref="D82:D94" si="25">IF(C82&gt;=1,(K82-C82)*(1+P82*$D$4/100)/$D$4+Q82+R82,"")</f>
        <v/>
      </c>
      <c r="E82" s="19" t="str">
        <f t="shared" ref="E82:E94" si="26">IF(C82&gt;=1,(K82-C82)*(1+P82*$E$4/100)/$E$4+Q82+S82,"")</f>
        <v/>
      </c>
      <c r="F82" s="19" t="str">
        <f t="shared" ref="F82:F94" si="27">IF(C82&gt;=1,(K82-C82)*(1+$P82*$F$4/100)/$F$4+Q82+S82, "")</f>
        <v/>
      </c>
      <c r="G82" s="19" t="str">
        <f t="shared" si="16"/>
        <v/>
      </c>
      <c r="H82" s="231"/>
      <c r="I82" s="231"/>
      <c r="J82" s="90"/>
      <c r="K82" s="91">
        <v>134678</v>
      </c>
      <c r="L82" s="91">
        <v>134678</v>
      </c>
      <c r="M82" s="91">
        <f>L82</f>
        <v>134678</v>
      </c>
      <c r="N82" s="91">
        <f>L82</f>
        <v>134678</v>
      </c>
      <c r="O82" s="91">
        <f>L82+1200</f>
        <v>135878</v>
      </c>
      <c r="P82" s="92">
        <v>2.5</v>
      </c>
      <c r="Q82" s="93"/>
      <c r="R82" s="237">
        <v>250</v>
      </c>
      <c r="S82" s="237">
        <v>125</v>
      </c>
      <c r="T82" s="90"/>
      <c r="U82" s="52">
        <v>200</v>
      </c>
      <c r="V82" s="52">
        <v>100</v>
      </c>
      <c r="W82" s="152" t="s">
        <v>372</v>
      </c>
      <c r="X82" s="94" t="s">
        <v>373</v>
      </c>
    </row>
    <row r="83" spans="1:24" x14ac:dyDescent="0.25">
      <c r="A83" s="88">
        <v>134900</v>
      </c>
      <c r="B83" s="95" t="s">
        <v>629</v>
      </c>
      <c r="C83" s="18">
        <v>80000</v>
      </c>
      <c r="D83" s="19">
        <f t="shared" si="25"/>
        <v>10972.584133333332</v>
      </c>
      <c r="E83" s="19">
        <f t="shared" si="26"/>
        <v>6103.9174666666668</v>
      </c>
      <c r="F83" s="19">
        <f t="shared" si="27"/>
        <v>4522.6952444444441</v>
      </c>
      <c r="G83" s="19">
        <f t="shared" si="16"/>
        <v>3732.0841333333333</v>
      </c>
      <c r="H83" s="231"/>
      <c r="I83" s="231"/>
      <c r="J83" s="90"/>
      <c r="K83" s="91">
        <f>136924</f>
        <v>136924</v>
      </c>
      <c r="L83" s="91">
        <f>134900</f>
        <v>134900</v>
      </c>
      <c r="M83" s="91">
        <f>135575+1200</f>
        <v>136775</v>
      </c>
      <c r="N83" s="91">
        <f>136249+1200</f>
        <v>137449</v>
      </c>
      <c r="O83" s="91">
        <f>136924+1100</f>
        <v>138024</v>
      </c>
      <c r="P83" s="92">
        <v>2.17</v>
      </c>
      <c r="Q83" s="93"/>
      <c r="R83" s="237">
        <v>250</v>
      </c>
      <c r="S83" s="237">
        <v>125</v>
      </c>
      <c r="T83" s="90"/>
      <c r="U83" s="52">
        <v>200</v>
      </c>
      <c r="V83" s="52">
        <v>100</v>
      </c>
      <c r="W83" s="152" t="s">
        <v>630</v>
      </c>
      <c r="X83" s="94" t="s">
        <v>631</v>
      </c>
    </row>
    <row r="84" spans="1:24" x14ac:dyDescent="0.25">
      <c r="A84" s="88">
        <v>124900</v>
      </c>
      <c r="B84" s="95" t="s">
        <v>640</v>
      </c>
      <c r="C84" s="18">
        <v>80000</v>
      </c>
      <c r="D84" s="19">
        <f t="shared" si="25"/>
        <v>9215.0166666666664</v>
      </c>
      <c r="E84" s="19">
        <f t="shared" si="26"/>
        <v>5192.1833333333334</v>
      </c>
      <c r="F84" s="19">
        <f t="shared" si="27"/>
        <v>3892.9055555555556</v>
      </c>
      <c r="G84" s="19">
        <f t="shared" si="16"/>
        <v>3243.2666666666669</v>
      </c>
      <c r="H84" s="231"/>
      <c r="I84" s="231"/>
      <c r="J84" s="90"/>
      <c r="K84" s="91">
        <f>126774</f>
        <v>126774</v>
      </c>
      <c r="L84" s="91">
        <f>124900</f>
        <v>124900</v>
      </c>
      <c r="M84" s="91">
        <f>125525+1200</f>
        <v>126725</v>
      </c>
      <c r="N84" s="91">
        <f>126149+1200</f>
        <v>127349</v>
      </c>
      <c r="O84" s="91">
        <f>126774+1100</f>
        <v>127874</v>
      </c>
      <c r="P84" s="92">
        <v>2.5</v>
      </c>
      <c r="Q84" s="93"/>
      <c r="R84" s="237">
        <v>250</v>
      </c>
      <c r="S84" s="237">
        <v>125</v>
      </c>
      <c r="T84" s="90"/>
      <c r="U84" s="52">
        <v>200</v>
      </c>
      <c r="V84" s="52">
        <v>100</v>
      </c>
      <c r="W84" s="152" t="s">
        <v>641</v>
      </c>
      <c r="X84" s="94" t="s">
        <v>642</v>
      </c>
    </row>
    <row r="85" spans="1:24" x14ac:dyDescent="0.25">
      <c r="A85" s="88">
        <v>136900</v>
      </c>
      <c r="B85" s="95" t="s">
        <v>691</v>
      </c>
      <c r="C85" s="18">
        <v>80000</v>
      </c>
      <c r="D85" s="19">
        <f t="shared" si="25"/>
        <v>11549.516666666665</v>
      </c>
      <c r="E85" s="19">
        <f t="shared" si="26"/>
        <v>6511.6833333333334</v>
      </c>
      <c r="F85" s="19">
        <f t="shared" si="27"/>
        <v>4874.0722222222221</v>
      </c>
      <c r="G85" s="19">
        <f t="shared" si="16"/>
        <v>4055.2666666666669</v>
      </c>
      <c r="H85" s="231"/>
      <c r="I85" s="231"/>
      <c r="J85" s="90"/>
      <c r="K85" s="91">
        <f>138954</f>
        <v>138954</v>
      </c>
      <c r="L85" s="91">
        <f>136900</f>
        <v>136900</v>
      </c>
      <c r="M85" s="91">
        <f>137585+1200</f>
        <v>138785</v>
      </c>
      <c r="N85" s="91">
        <f>138269+1200</f>
        <v>139469</v>
      </c>
      <c r="O85" s="91">
        <f>138954+1100</f>
        <v>140054</v>
      </c>
      <c r="P85" s="92">
        <v>2.5</v>
      </c>
      <c r="Q85" s="93"/>
      <c r="R85" s="237">
        <v>250</v>
      </c>
      <c r="S85" s="237">
        <v>125</v>
      </c>
      <c r="T85" s="90"/>
      <c r="U85" s="52">
        <v>200</v>
      </c>
      <c r="V85" s="52">
        <v>100</v>
      </c>
      <c r="W85" s="152" t="s">
        <v>641</v>
      </c>
      <c r="X85" s="94" t="s">
        <v>643</v>
      </c>
    </row>
    <row r="86" spans="1:24" x14ac:dyDescent="0.25">
      <c r="A86" s="88">
        <v>149726</v>
      </c>
      <c r="B86" s="95" t="s">
        <v>689</v>
      </c>
      <c r="C86" s="18"/>
      <c r="D86" s="251"/>
      <c r="E86" s="251"/>
      <c r="F86" s="251"/>
      <c r="G86" s="251"/>
      <c r="H86" s="231"/>
      <c r="I86" s="231"/>
      <c r="J86" s="90"/>
      <c r="K86" s="91"/>
      <c r="L86" s="91">
        <v>162000</v>
      </c>
      <c r="M86" s="91"/>
      <c r="N86" s="91"/>
      <c r="O86" s="91"/>
      <c r="P86" s="92"/>
      <c r="Q86" s="93"/>
      <c r="R86" s="237"/>
      <c r="S86" s="237"/>
      <c r="T86" s="90"/>
      <c r="U86" s="52"/>
      <c r="V86" s="52"/>
      <c r="W86" s="152" t="s">
        <v>687</v>
      </c>
      <c r="X86" s="94" t="s">
        <v>690</v>
      </c>
    </row>
    <row r="87" spans="1:24" x14ac:dyDescent="0.25">
      <c r="A87" s="88">
        <v>92000</v>
      </c>
      <c r="B87" s="89" t="s">
        <v>233</v>
      </c>
      <c r="C87" s="18"/>
      <c r="D87" s="19" t="str">
        <f t="shared" si="25"/>
        <v/>
      </c>
      <c r="E87" s="19" t="str">
        <f t="shared" si="26"/>
        <v/>
      </c>
      <c r="F87" s="19" t="str">
        <f t="shared" si="27"/>
        <v/>
      </c>
      <c r="G87" s="19" t="str">
        <f t="shared" si="16"/>
        <v/>
      </c>
      <c r="H87" s="19" t="str">
        <f t="shared" si="17"/>
        <v/>
      </c>
      <c r="I87" s="19" t="str">
        <f t="shared" si="18"/>
        <v/>
      </c>
      <c r="J87" s="90"/>
      <c r="K87" s="91">
        <v>97889</v>
      </c>
      <c r="L87" s="91">
        <v>95316</v>
      </c>
      <c r="M87" s="91">
        <f>96173+1200</f>
        <v>97373</v>
      </c>
      <c r="N87" s="91">
        <f>97031+1200</f>
        <v>98231</v>
      </c>
      <c r="O87" s="91">
        <f>97889+1100</f>
        <v>98989</v>
      </c>
      <c r="P87" s="92">
        <v>2.5</v>
      </c>
      <c r="Q87" s="93"/>
      <c r="R87" s="237">
        <v>250</v>
      </c>
      <c r="S87" s="237">
        <v>125</v>
      </c>
      <c r="T87" s="90"/>
      <c r="U87" s="52">
        <v>300</v>
      </c>
      <c r="V87" s="52">
        <v>100</v>
      </c>
      <c r="W87" s="152" t="s">
        <v>234</v>
      </c>
      <c r="X87" s="94" t="s">
        <v>235</v>
      </c>
    </row>
    <row r="88" spans="1:24" x14ac:dyDescent="0.25">
      <c r="A88" s="88">
        <v>99900</v>
      </c>
      <c r="B88" s="89" t="s">
        <v>376</v>
      </c>
      <c r="C88" s="18"/>
      <c r="D88" s="19" t="str">
        <f t="shared" si="25"/>
        <v/>
      </c>
      <c r="E88" s="19" t="str">
        <f t="shared" si="26"/>
        <v/>
      </c>
      <c r="F88" s="19" t="str">
        <f t="shared" si="27"/>
        <v/>
      </c>
      <c r="G88" s="19" t="str">
        <f t="shared" si="16"/>
        <v/>
      </c>
      <c r="H88" s="19" t="str">
        <f t="shared" si="17"/>
        <v/>
      </c>
      <c r="I88" s="19" t="str">
        <f t="shared" si="18"/>
        <v/>
      </c>
      <c r="J88" s="90"/>
      <c r="K88" s="91">
        <f>105789</f>
        <v>105789</v>
      </c>
      <c r="L88" s="91">
        <f>103216</f>
        <v>103216</v>
      </c>
      <c r="M88" s="91">
        <f>104073+1200</f>
        <v>105273</v>
      </c>
      <c r="N88" s="91">
        <f>104931+1200</f>
        <v>106131</v>
      </c>
      <c r="O88" s="91">
        <f>105789+1100</f>
        <v>106889</v>
      </c>
      <c r="P88" s="92">
        <v>2.5</v>
      </c>
      <c r="Q88" s="93"/>
      <c r="R88" s="237">
        <v>250</v>
      </c>
      <c r="S88" s="237">
        <v>125</v>
      </c>
      <c r="T88" s="90"/>
      <c r="U88" s="52">
        <v>300</v>
      </c>
      <c r="V88" s="52">
        <v>100</v>
      </c>
      <c r="W88" s="152" t="s">
        <v>413</v>
      </c>
      <c r="X88" s="94" t="s">
        <v>417</v>
      </c>
    </row>
    <row r="89" spans="1:24" x14ac:dyDescent="0.25">
      <c r="A89" s="88">
        <v>129800</v>
      </c>
      <c r="B89" s="202" t="s">
        <v>304</v>
      </c>
      <c r="C89" s="18"/>
      <c r="D89" s="19" t="str">
        <f t="shared" si="25"/>
        <v/>
      </c>
      <c r="E89" s="19" t="str">
        <f t="shared" si="26"/>
        <v/>
      </c>
      <c r="F89" s="19" t="str">
        <f t="shared" si="27"/>
        <v/>
      </c>
      <c r="G89" s="19" t="str">
        <f t="shared" si="16"/>
        <v/>
      </c>
      <c r="H89" s="19" t="str">
        <f>IF(C89&gt;=1, (K89-C89)*(1+$P89*$H$4/100)/$H$4+Q89+S89, "")</f>
        <v/>
      </c>
      <c r="I89" s="19" t="str">
        <f t="shared" si="18"/>
        <v/>
      </c>
      <c r="J89" s="90"/>
      <c r="K89" s="91">
        <f>133989</f>
        <v>133989</v>
      </c>
      <c r="L89" s="91">
        <f>131700</f>
        <v>131700</v>
      </c>
      <c r="M89" s="91">
        <f>132463+1200</f>
        <v>133663</v>
      </c>
      <c r="N89" s="91">
        <f>133226+1200</f>
        <v>134426</v>
      </c>
      <c r="O89" s="91">
        <f>133989+1100</f>
        <v>135089</v>
      </c>
      <c r="P89" s="92">
        <v>2.5</v>
      </c>
      <c r="Q89" s="93"/>
      <c r="R89" s="237">
        <v>250</v>
      </c>
      <c r="S89" s="237">
        <v>125</v>
      </c>
      <c r="T89" s="90"/>
      <c r="U89" s="52">
        <v>300</v>
      </c>
      <c r="V89" s="52">
        <v>100</v>
      </c>
      <c r="W89" s="152" t="s">
        <v>413</v>
      </c>
      <c r="X89" s="94" t="s">
        <v>418</v>
      </c>
    </row>
    <row r="90" spans="1:24" x14ac:dyDescent="0.25">
      <c r="A90" s="88">
        <v>99900</v>
      </c>
      <c r="B90" s="89" t="s">
        <v>135</v>
      </c>
      <c r="C90" s="18"/>
      <c r="D90" s="19" t="str">
        <f t="shared" si="25"/>
        <v/>
      </c>
      <c r="E90" s="19" t="str">
        <f t="shared" si="26"/>
        <v/>
      </c>
      <c r="F90" s="19" t="str">
        <f t="shared" si="27"/>
        <v/>
      </c>
      <c r="G90" s="19" t="str">
        <f t="shared" si="16"/>
        <v/>
      </c>
      <c r="H90" s="19" t="str">
        <f t="shared" si="17"/>
        <v/>
      </c>
      <c r="I90" s="19" t="str">
        <f t="shared" si="18"/>
        <v/>
      </c>
      <c r="J90" s="90"/>
      <c r="K90" s="91">
        <v>106224</v>
      </c>
      <c r="L90" s="91">
        <v>102486</v>
      </c>
      <c r="M90" s="91">
        <f>104692+240</f>
        <v>104932</v>
      </c>
      <c r="N90" s="91">
        <f>105938+240</f>
        <v>106178</v>
      </c>
      <c r="O90" s="91">
        <f>107084+240</f>
        <v>107324</v>
      </c>
      <c r="P90" s="92">
        <v>2.5</v>
      </c>
      <c r="Q90" s="93"/>
      <c r="R90" s="237">
        <v>250</v>
      </c>
      <c r="S90" s="237">
        <v>125</v>
      </c>
      <c r="T90" s="90"/>
      <c r="U90" s="52">
        <v>200</v>
      </c>
      <c r="V90" s="52">
        <v>100</v>
      </c>
      <c r="W90" s="94"/>
      <c r="X90" s="94"/>
    </row>
    <row r="91" spans="1:24" x14ac:dyDescent="0.25">
      <c r="A91" s="88">
        <v>125000</v>
      </c>
      <c r="B91" s="89" t="s">
        <v>134</v>
      </c>
      <c r="C91" s="18"/>
      <c r="D91" s="19" t="str">
        <f t="shared" si="25"/>
        <v/>
      </c>
      <c r="E91" s="19" t="str">
        <f t="shared" si="26"/>
        <v/>
      </c>
      <c r="F91" s="19" t="str">
        <f t="shared" si="27"/>
        <v/>
      </c>
      <c r="G91" s="19" t="str">
        <f t="shared" si="16"/>
        <v/>
      </c>
      <c r="H91" s="19" t="str">
        <f t="shared" si="17"/>
        <v/>
      </c>
      <c r="I91" s="19" t="str">
        <f t="shared" si="18"/>
        <v/>
      </c>
      <c r="J91" s="90"/>
      <c r="K91" s="91">
        <v>130321</v>
      </c>
      <c r="L91" s="91">
        <v>127862</v>
      </c>
      <c r="M91" s="91">
        <f>129821+240</f>
        <v>130061</v>
      </c>
      <c r="N91" s="91">
        <f>130461+240</f>
        <v>130701</v>
      </c>
      <c r="O91" s="91">
        <f>131081+240</f>
        <v>131321</v>
      </c>
      <c r="P91" s="92">
        <v>2.5</v>
      </c>
      <c r="Q91" s="93"/>
      <c r="R91" s="237">
        <v>250</v>
      </c>
      <c r="S91" s="237">
        <v>125</v>
      </c>
      <c r="T91" s="90"/>
      <c r="U91" s="52">
        <v>200</v>
      </c>
      <c r="V91" s="52">
        <v>100</v>
      </c>
      <c r="W91" s="94"/>
      <c r="X91" s="94"/>
    </row>
    <row r="92" spans="1:24" x14ac:dyDescent="0.25">
      <c r="A92" s="88">
        <v>149500</v>
      </c>
      <c r="B92" s="89" t="s">
        <v>360</v>
      </c>
      <c r="C92" s="18"/>
      <c r="D92" s="19" t="str">
        <f t="shared" si="25"/>
        <v/>
      </c>
      <c r="E92" s="19" t="str">
        <f t="shared" si="26"/>
        <v/>
      </c>
      <c r="F92" s="19" t="str">
        <f t="shared" si="27"/>
        <v/>
      </c>
      <c r="G92" s="19" t="str">
        <f t="shared" si="16"/>
        <v/>
      </c>
      <c r="H92" s="19" t="str">
        <f>IF(C92&gt;=1, (K92-C92)*(1+$P92*$H$4/100)/$H$4+Q92+S92, "")</f>
        <v/>
      </c>
      <c r="I92" s="19" t="str">
        <f t="shared" si="18"/>
        <v/>
      </c>
      <c r="J92" s="90"/>
      <c r="K92" s="91">
        <f>153247</f>
        <v>153247</v>
      </c>
      <c r="L92" s="91">
        <f>149625</f>
        <v>149625</v>
      </c>
      <c r="M92" s="91">
        <f>150832+1200</f>
        <v>152032</v>
      </c>
      <c r="N92" s="91">
        <f>152039+1200</f>
        <v>153239</v>
      </c>
      <c r="O92" s="91">
        <f>153247+1100</f>
        <v>154347</v>
      </c>
      <c r="P92" s="92">
        <v>2.5</v>
      </c>
      <c r="Q92" s="93"/>
      <c r="R92" s="237">
        <v>250</v>
      </c>
      <c r="S92" s="237">
        <v>125</v>
      </c>
      <c r="T92" s="90"/>
      <c r="U92" s="52">
        <v>300</v>
      </c>
      <c r="V92" s="52">
        <v>100</v>
      </c>
      <c r="W92" s="152" t="s">
        <v>413</v>
      </c>
      <c r="X92" s="94" t="s">
        <v>419</v>
      </c>
    </row>
    <row r="93" spans="1:24" x14ac:dyDescent="0.25">
      <c r="A93" s="88">
        <v>82000</v>
      </c>
      <c r="B93" s="89" t="s">
        <v>346</v>
      </c>
      <c r="C93" s="18"/>
      <c r="D93" s="19" t="str">
        <f t="shared" si="25"/>
        <v/>
      </c>
      <c r="E93" s="19" t="str">
        <f t="shared" si="26"/>
        <v/>
      </c>
      <c r="F93" s="19" t="str">
        <f t="shared" si="27"/>
        <v/>
      </c>
      <c r="G93" s="19" t="str">
        <f t="shared" si="16"/>
        <v/>
      </c>
      <c r="H93" s="19" t="str">
        <f t="shared" si="17"/>
        <v/>
      </c>
      <c r="I93" s="19" t="str">
        <f t="shared" si="18"/>
        <v/>
      </c>
      <c r="J93" s="90"/>
      <c r="K93" s="91">
        <f>86668</f>
        <v>86668</v>
      </c>
      <c r="L93" s="91">
        <f>85379</f>
        <v>85379</v>
      </c>
      <c r="M93" s="91">
        <f>85808+1200</f>
        <v>87008</v>
      </c>
      <c r="N93" s="91">
        <f>86238+1200</f>
        <v>87438</v>
      </c>
      <c r="O93" s="91">
        <f>86668+1100</f>
        <v>87768</v>
      </c>
      <c r="P93" s="92">
        <v>2.5</v>
      </c>
      <c r="Q93" s="93"/>
      <c r="R93" s="237">
        <v>250</v>
      </c>
      <c r="S93" s="237">
        <v>125</v>
      </c>
      <c r="T93" s="90"/>
      <c r="U93" s="52">
        <v>300</v>
      </c>
      <c r="V93" s="52">
        <v>100</v>
      </c>
      <c r="W93" s="152" t="s">
        <v>413</v>
      </c>
      <c r="X93" s="94" t="s">
        <v>416</v>
      </c>
    </row>
    <row r="94" spans="1:24" x14ac:dyDescent="0.25">
      <c r="A94" s="88">
        <v>104000</v>
      </c>
      <c r="B94" s="89" t="s">
        <v>261</v>
      </c>
      <c r="C94" s="18"/>
      <c r="D94" s="19" t="str">
        <f t="shared" si="25"/>
        <v/>
      </c>
      <c r="E94" s="19" t="str">
        <f t="shared" si="26"/>
        <v/>
      </c>
      <c r="F94" s="19" t="str">
        <f t="shared" si="27"/>
        <v/>
      </c>
      <c r="G94" s="19" t="str">
        <f t="shared" si="16"/>
        <v/>
      </c>
      <c r="H94" s="19" t="str">
        <f t="shared" si="17"/>
        <v/>
      </c>
      <c r="I94" s="19" t="str">
        <f t="shared" si="18"/>
        <v/>
      </c>
      <c r="J94" s="90"/>
      <c r="K94" s="91">
        <v>108635</v>
      </c>
      <c r="L94" s="91">
        <f>104000</f>
        <v>104000</v>
      </c>
      <c r="M94" s="91">
        <f>105545+1200</f>
        <v>106745</v>
      </c>
      <c r="N94" s="91">
        <f>107090+1200</f>
        <v>108290</v>
      </c>
      <c r="O94" s="91">
        <f>108635+1100</f>
        <v>109735</v>
      </c>
      <c r="P94" s="92">
        <v>2.5</v>
      </c>
      <c r="Q94" s="93"/>
      <c r="R94" s="237">
        <v>250</v>
      </c>
      <c r="S94" s="237">
        <v>125</v>
      </c>
      <c r="T94" s="90"/>
      <c r="U94" s="52">
        <v>200</v>
      </c>
      <c r="V94" s="52">
        <v>100</v>
      </c>
      <c r="W94" s="152" t="s">
        <v>260</v>
      </c>
      <c r="X94" s="94" t="s">
        <v>262</v>
      </c>
    </row>
    <row r="95" spans="1:24" x14ac:dyDescent="0.25">
      <c r="A95" s="96"/>
      <c r="B95" s="90"/>
      <c r="C95" s="192"/>
      <c r="D95" s="193"/>
      <c r="E95" s="193"/>
      <c r="F95" s="193"/>
      <c r="G95" s="193"/>
      <c r="H95" s="193"/>
      <c r="I95" s="193"/>
      <c r="J95" s="90"/>
      <c r="K95" s="97"/>
      <c r="L95" s="97"/>
      <c r="M95" s="97"/>
      <c r="N95" s="97"/>
      <c r="O95" s="97"/>
      <c r="P95" s="92"/>
      <c r="Q95" s="93"/>
      <c r="R95" s="93"/>
      <c r="S95" s="93"/>
      <c r="T95" s="90"/>
      <c r="U95" s="52"/>
      <c r="V95" s="52"/>
      <c r="W95" s="94"/>
      <c r="X95" s="94"/>
    </row>
    <row r="96" spans="1:24" s="2" customFormat="1" x14ac:dyDescent="0.25">
      <c r="A96" s="15" t="s">
        <v>0</v>
      </c>
      <c r="B96" s="14" t="s">
        <v>47</v>
      </c>
      <c r="C96" s="67" t="s">
        <v>80</v>
      </c>
      <c r="D96" s="15">
        <v>6</v>
      </c>
      <c r="E96" s="13">
        <v>12</v>
      </c>
      <c r="F96" s="13">
        <v>18</v>
      </c>
      <c r="G96" s="13">
        <v>24</v>
      </c>
      <c r="H96" s="13">
        <v>30</v>
      </c>
      <c r="I96" s="13">
        <v>36</v>
      </c>
      <c r="J96" s="1"/>
      <c r="K96" s="13" t="s">
        <v>2</v>
      </c>
      <c r="L96" s="13" t="s">
        <v>1</v>
      </c>
      <c r="M96" s="13" t="s">
        <v>3</v>
      </c>
      <c r="N96" s="13" t="s">
        <v>4</v>
      </c>
      <c r="O96" s="13" t="s">
        <v>5</v>
      </c>
      <c r="P96" s="261" t="s">
        <v>6</v>
      </c>
      <c r="Q96" s="262"/>
      <c r="R96" s="232">
        <v>6</v>
      </c>
      <c r="S96" s="232" t="s">
        <v>523</v>
      </c>
      <c r="T96" s="8"/>
      <c r="U96" s="259" t="s">
        <v>7</v>
      </c>
      <c r="V96" s="260"/>
      <c r="W96" s="57" t="s">
        <v>152</v>
      </c>
      <c r="X96" s="57"/>
    </row>
    <row r="97" spans="1:24" ht="15" customHeight="1" x14ac:dyDescent="0.25">
      <c r="A97" s="263" t="s">
        <v>26</v>
      </c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71"/>
      <c r="X97" s="71"/>
    </row>
    <row r="98" spans="1:24" ht="13.5" customHeight="1" x14ac:dyDescent="0.25">
      <c r="A98" s="120">
        <v>99800</v>
      </c>
      <c r="B98" s="27" t="s">
        <v>197</v>
      </c>
      <c r="C98" s="22"/>
      <c r="D98" s="23" t="str">
        <f>IF(C98&gt;=1,(K98-C98)*(1+P98*$D$4/100)/$D$4+Q98+R98,"")</f>
        <v/>
      </c>
      <c r="E98" s="23" t="str">
        <f>IF(C98&gt;=1,(K98-C98)*(1+P98*$E$4/100)/$E$4+Q98+S98,"")</f>
        <v/>
      </c>
      <c r="F98" s="23" t="str">
        <f>IF(C98&gt;=1,(K98-C98)*(1+$P98*$F$4/100)/$F$4+Q98+S98, "")</f>
        <v/>
      </c>
      <c r="G98" s="23" t="str">
        <f>IF(C98&gt;=1, (K98-C98)*(1+$P98*$G$4/100)/$G$4+Q98+S98,"")</f>
        <v/>
      </c>
      <c r="H98" s="23" t="str">
        <f>IF(C98&gt;=1, (K98-C98)*(1+$P98*$H$4/100)/$H$4+Q98+S98, "")</f>
        <v/>
      </c>
      <c r="I98" s="23" t="str">
        <f>IF(C98&gt;=1, (K98-C98)*(1+$P98*$I$4/100)/$I$4+Q98+S98, "")</f>
        <v/>
      </c>
      <c r="J98" s="121"/>
      <c r="K98" s="122">
        <v>102231</v>
      </c>
      <c r="L98" s="122">
        <v>99800</v>
      </c>
      <c r="M98" s="115">
        <f>100610+1200</f>
        <v>101810</v>
      </c>
      <c r="N98" s="115">
        <f>101420+1200</f>
        <v>102620</v>
      </c>
      <c r="O98" s="115">
        <f>102231+1100</f>
        <v>103331</v>
      </c>
      <c r="P98" s="123">
        <v>2.17</v>
      </c>
      <c r="Q98" s="124"/>
      <c r="R98" s="238">
        <v>250</v>
      </c>
      <c r="S98" s="238">
        <v>125</v>
      </c>
      <c r="T98" s="121"/>
      <c r="U98" s="125">
        <v>200</v>
      </c>
      <c r="V98" s="125">
        <v>100</v>
      </c>
      <c r="W98" s="127" t="s">
        <v>196</v>
      </c>
      <c r="X98" s="127"/>
    </row>
    <row r="99" spans="1:24" ht="13.5" customHeight="1" x14ac:dyDescent="0.25">
      <c r="A99" s="120">
        <v>118000</v>
      </c>
      <c r="B99" s="27" t="s">
        <v>109</v>
      </c>
      <c r="C99" s="22"/>
      <c r="D99" s="23" t="str">
        <f t="shared" ref="D99:D109" si="28">IF(C99&gt;=1,(K99-C99)*(1+P99*$D$4/100)/$D$4+Q99+R99,"")</f>
        <v/>
      </c>
      <c r="E99" s="23" t="str">
        <f t="shared" ref="E99:E109" si="29">IF(C99&gt;=1,(K99-C99)*(1+P99*$E$4/100)/$E$4+Q99+S99,"")</f>
        <v/>
      </c>
      <c r="F99" s="23" t="str">
        <f t="shared" ref="F99:F109" si="30">IF(C99&gt;=1,(K99-C99)*(1+$P99*$F$4/100)/$F$4+Q99+S99, "")</f>
        <v/>
      </c>
      <c r="G99" s="23" t="str">
        <f>IF(C99&gt;=1, (K99-C99)*(1+$P99*$G$4/100)/$G$4+Q99+S99,"")</f>
        <v/>
      </c>
      <c r="H99" s="23" t="str">
        <f>IF(C99&gt;=1, (K99-C99)*(1+$P99*$H$4/100)/$H$4+Q99+S99, "")</f>
        <v/>
      </c>
      <c r="I99" s="23" t="str">
        <f t="shared" ref="I99:I108" si="31">IF(C99&gt;=1, (K99-C99)*(1+$P99*$I$4/100)/$I$4+Q99+S99, "")</f>
        <v/>
      </c>
      <c r="J99" s="121"/>
      <c r="K99" s="122">
        <v>122294</v>
      </c>
      <c r="L99" s="122">
        <v>118000</v>
      </c>
      <c r="M99" s="115">
        <f>119431+1200</f>
        <v>120631</v>
      </c>
      <c r="N99" s="115">
        <f>120862+1200</f>
        <v>122062</v>
      </c>
      <c r="O99" s="115">
        <f>122294+1100</f>
        <v>123394</v>
      </c>
      <c r="P99" s="123">
        <v>2.17</v>
      </c>
      <c r="Q99" s="124"/>
      <c r="R99" s="238">
        <v>250</v>
      </c>
      <c r="S99" s="238">
        <v>125</v>
      </c>
      <c r="T99" s="121"/>
      <c r="U99" s="125">
        <v>200</v>
      </c>
      <c r="V99" s="125">
        <v>100</v>
      </c>
      <c r="W99" s="126"/>
      <c r="X99" s="126"/>
    </row>
    <row r="100" spans="1:24" ht="13.5" customHeight="1" x14ac:dyDescent="0.25">
      <c r="A100" s="120">
        <v>119000</v>
      </c>
      <c r="B100" s="27" t="s">
        <v>170</v>
      </c>
      <c r="C100" s="22"/>
      <c r="D100" s="23" t="str">
        <f t="shared" si="28"/>
        <v/>
      </c>
      <c r="E100" s="23" t="str">
        <f t="shared" si="29"/>
        <v/>
      </c>
      <c r="F100" s="23" t="str">
        <f t="shared" si="30"/>
        <v/>
      </c>
      <c r="G100" s="23" t="str">
        <f t="shared" ref="G100:G109" si="32">IF(C100&gt;=1, (K100-C100)*(1+$P100*$G$4/100)/$G$4+Q100+S100,"")</f>
        <v/>
      </c>
      <c r="H100" s="23" t="str">
        <f t="shared" ref="H100:H108" si="33">IF(C100&gt;=1, (K100-C100)*(1+$P100*$H$4/100)/$H$4+Q100+S100, "")</f>
        <v/>
      </c>
      <c r="I100" s="23" t="str">
        <f t="shared" si="31"/>
        <v/>
      </c>
      <c r="J100" s="121"/>
      <c r="K100" s="122">
        <v>123294</v>
      </c>
      <c r="L100" s="122">
        <v>119000</v>
      </c>
      <c r="M100" s="115">
        <f>121391+240</f>
        <v>121631</v>
      </c>
      <c r="N100" s="115">
        <f>122822+240</f>
        <v>123062</v>
      </c>
      <c r="O100" s="115">
        <f>124154+240</f>
        <v>124394</v>
      </c>
      <c r="P100" s="123">
        <v>2.17</v>
      </c>
      <c r="Q100" s="124"/>
      <c r="R100" s="238">
        <v>250</v>
      </c>
      <c r="S100" s="238">
        <v>125</v>
      </c>
      <c r="T100" s="121"/>
      <c r="U100" s="125">
        <v>200</v>
      </c>
      <c r="V100" s="125">
        <v>100</v>
      </c>
      <c r="W100" s="127" t="s">
        <v>171</v>
      </c>
      <c r="X100" s="127"/>
    </row>
    <row r="101" spans="1:24" ht="13.5" customHeight="1" x14ac:dyDescent="0.25">
      <c r="A101" s="120">
        <v>109000</v>
      </c>
      <c r="B101" s="27" t="s">
        <v>239</v>
      </c>
      <c r="C101" s="22"/>
      <c r="D101" s="23" t="str">
        <f t="shared" si="28"/>
        <v/>
      </c>
      <c r="E101" s="23" t="str">
        <f t="shared" si="29"/>
        <v/>
      </c>
      <c r="F101" s="23" t="str">
        <f t="shared" si="30"/>
        <v/>
      </c>
      <c r="G101" s="23" t="str">
        <f t="shared" si="32"/>
        <v/>
      </c>
      <c r="H101" s="23" t="str">
        <f t="shared" si="33"/>
        <v/>
      </c>
      <c r="I101" s="23" t="str">
        <f t="shared" si="31"/>
        <v/>
      </c>
      <c r="J101" s="121"/>
      <c r="K101" s="122">
        <v>113294</v>
      </c>
      <c r="L101" s="122">
        <v>109000</v>
      </c>
      <c r="M101" s="115">
        <f>110431+1200</f>
        <v>111631</v>
      </c>
      <c r="N101" s="115">
        <f>111862+1200</f>
        <v>113062</v>
      </c>
      <c r="O101" s="115">
        <f>113294+1100</f>
        <v>114394</v>
      </c>
      <c r="P101" s="123">
        <v>2.17</v>
      </c>
      <c r="Q101" s="124"/>
      <c r="R101" s="238">
        <v>250</v>
      </c>
      <c r="S101" s="238">
        <v>125</v>
      </c>
      <c r="T101" s="121"/>
      <c r="U101" s="125">
        <v>200</v>
      </c>
      <c r="V101" s="125">
        <v>100</v>
      </c>
      <c r="W101" s="127" t="s">
        <v>240</v>
      </c>
      <c r="X101" s="127" t="s">
        <v>241</v>
      </c>
    </row>
    <row r="102" spans="1:24" ht="13.5" customHeight="1" x14ac:dyDescent="0.25">
      <c r="A102" s="120">
        <v>119900</v>
      </c>
      <c r="B102" s="129" t="s">
        <v>297</v>
      </c>
      <c r="C102" s="22"/>
      <c r="D102" s="23" t="str">
        <f t="shared" si="28"/>
        <v/>
      </c>
      <c r="E102" s="23" t="str">
        <f t="shared" si="29"/>
        <v/>
      </c>
      <c r="F102" s="23" t="str">
        <f t="shared" si="30"/>
        <v/>
      </c>
      <c r="G102" s="23" t="str">
        <f t="shared" si="32"/>
        <v/>
      </c>
      <c r="H102" s="23" t="str">
        <f t="shared" si="33"/>
        <v/>
      </c>
      <c r="I102" s="23" t="str">
        <f t="shared" si="31"/>
        <v/>
      </c>
      <c r="J102" s="121"/>
      <c r="K102" s="122">
        <v>124194</v>
      </c>
      <c r="L102" s="122">
        <v>119900</v>
      </c>
      <c r="M102" s="115">
        <f>121331+1200</f>
        <v>122531</v>
      </c>
      <c r="N102" s="115">
        <f>122762+1200</f>
        <v>123962</v>
      </c>
      <c r="O102" s="115">
        <f>124194+1100</f>
        <v>125294</v>
      </c>
      <c r="P102" s="123">
        <v>2.17</v>
      </c>
      <c r="Q102" s="124"/>
      <c r="R102" s="238">
        <v>250</v>
      </c>
      <c r="S102" s="238">
        <v>125</v>
      </c>
      <c r="T102" s="121"/>
      <c r="U102" s="125">
        <v>200</v>
      </c>
      <c r="V102" s="125">
        <v>100</v>
      </c>
      <c r="W102" s="127" t="s">
        <v>293</v>
      </c>
      <c r="X102" s="127" t="s">
        <v>298</v>
      </c>
    </row>
    <row r="103" spans="1:24" ht="13.5" customHeight="1" x14ac:dyDescent="0.25">
      <c r="A103" s="120">
        <v>134500</v>
      </c>
      <c r="B103" s="129" t="s">
        <v>257</v>
      </c>
      <c r="C103" s="22"/>
      <c r="D103" s="23" t="str">
        <f t="shared" si="28"/>
        <v/>
      </c>
      <c r="E103" s="23" t="str">
        <f t="shared" si="29"/>
        <v/>
      </c>
      <c r="F103" s="23" t="str">
        <f t="shared" si="30"/>
        <v/>
      </c>
      <c r="G103" s="23" t="str">
        <f t="shared" si="32"/>
        <v/>
      </c>
      <c r="H103" s="23" t="str">
        <f t="shared" si="33"/>
        <v/>
      </c>
      <c r="I103" s="23" t="str">
        <f t="shared" si="31"/>
        <v/>
      </c>
      <c r="J103" s="121"/>
      <c r="K103" s="122">
        <v>137690</v>
      </c>
      <c r="L103" s="122">
        <v>134500</v>
      </c>
      <c r="M103" s="115">
        <f>135563+1200</f>
        <v>136763</v>
      </c>
      <c r="N103" s="115">
        <f>136626+1200</f>
        <v>137826</v>
      </c>
      <c r="O103" s="115">
        <f>137690+1100</f>
        <v>138790</v>
      </c>
      <c r="P103" s="123">
        <v>2.17</v>
      </c>
      <c r="Q103" s="124"/>
      <c r="R103" s="238">
        <v>250</v>
      </c>
      <c r="S103" s="238">
        <v>125</v>
      </c>
      <c r="T103" s="121"/>
      <c r="U103" s="125">
        <v>200</v>
      </c>
      <c r="V103" s="125">
        <v>100</v>
      </c>
      <c r="W103" s="127" t="s">
        <v>258</v>
      </c>
      <c r="X103" s="127" t="s">
        <v>259</v>
      </c>
    </row>
    <row r="104" spans="1:24" ht="13.5" customHeight="1" x14ac:dyDescent="0.25">
      <c r="A104" s="120">
        <v>144500</v>
      </c>
      <c r="B104" s="129" t="s">
        <v>299</v>
      </c>
      <c r="C104" s="22"/>
      <c r="D104" s="23" t="str">
        <f t="shared" si="28"/>
        <v/>
      </c>
      <c r="E104" s="23" t="str">
        <f t="shared" si="29"/>
        <v/>
      </c>
      <c r="F104" s="23" t="str">
        <f t="shared" si="30"/>
        <v/>
      </c>
      <c r="G104" s="23" t="str">
        <f t="shared" si="32"/>
        <v/>
      </c>
      <c r="H104" s="23" t="str">
        <f t="shared" si="33"/>
        <v/>
      </c>
      <c r="I104" s="23" t="str">
        <f t="shared" si="31"/>
        <v/>
      </c>
      <c r="J104" s="121"/>
      <c r="K104" s="122">
        <v>147690</v>
      </c>
      <c r="L104" s="122">
        <v>144500</v>
      </c>
      <c r="M104" s="115">
        <f>145563+1200</f>
        <v>146763</v>
      </c>
      <c r="N104" s="115">
        <f>146626+1200</f>
        <v>147826</v>
      </c>
      <c r="O104" s="115">
        <f>147690+1100</f>
        <v>148790</v>
      </c>
      <c r="P104" s="123">
        <v>2.17</v>
      </c>
      <c r="Q104" s="124"/>
      <c r="R104" s="238">
        <v>250</v>
      </c>
      <c r="S104" s="238">
        <v>125</v>
      </c>
      <c r="T104" s="121"/>
      <c r="U104" s="125">
        <v>200</v>
      </c>
      <c r="V104" s="125">
        <v>100</v>
      </c>
      <c r="W104" s="127" t="s">
        <v>300</v>
      </c>
      <c r="X104" s="127" t="s">
        <v>301</v>
      </c>
    </row>
    <row r="105" spans="1:24" ht="13.5" customHeight="1" x14ac:dyDescent="0.25">
      <c r="A105" s="120">
        <v>153900</v>
      </c>
      <c r="B105" s="129" t="s">
        <v>512</v>
      </c>
      <c r="C105" s="22"/>
      <c r="D105" s="23" t="str">
        <f t="shared" si="28"/>
        <v/>
      </c>
      <c r="E105" s="23" t="str">
        <f t="shared" si="29"/>
        <v/>
      </c>
      <c r="F105" s="23" t="str">
        <f t="shared" si="30"/>
        <v/>
      </c>
      <c r="G105" s="23" t="str">
        <f t="shared" si="32"/>
        <v/>
      </c>
      <c r="H105" s="23" t="str">
        <f t="shared" si="33"/>
        <v/>
      </c>
      <c r="I105" s="23" t="str">
        <f t="shared" si="31"/>
        <v/>
      </c>
      <c r="J105" s="121"/>
      <c r="K105" s="122">
        <f>157090</f>
        <v>157090</v>
      </c>
      <c r="L105" s="122">
        <f>153900</f>
        <v>153900</v>
      </c>
      <c r="M105" s="115">
        <f>154963+1200</f>
        <v>156163</v>
      </c>
      <c r="N105" s="115">
        <f>156026+1200</f>
        <v>157226</v>
      </c>
      <c r="O105" s="115">
        <f>157090+1100</f>
        <v>158190</v>
      </c>
      <c r="P105" s="123">
        <v>2.17</v>
      </c>
      <c r="Q105" s="124"/>
      <c r="R105" s="238">
        <v>250</v>
      </c>
      <c r="S105" s="238">
        <v>125</v>
      </c>
      <c r="T105" s="121"/>
      <c r="U105" s="125">
        <v>200</v>
      </c>
      <c r="V105" s="125">
        <v>100</v>
      </c>
      <c r="W105" s="127" t="s">
        <v>536</v>
      </c>
      <c r="X105" s="127" t="s">
        <v>540</v>
      </c>
    </row>
    <row r="106" spans="1:24" ht="13.5" customHeight="1" x14ac:dyDescent="0.25">
      <c r="A106" s="120">
        <v>151900</v>
      </c>
      <c r="B106" s="129" t="s">
        <v>538</v>
      </c>
      <c r="C106" s="22"/>
      <c r="D106" s="23" t="str">
        <f t="shared" si="28"/>
        <v/>
      </c>
      <c r="E106" s="23" t="str">
        <f t="shared" si="29"/>
        <v/>
      </c>
      <c r="F106" s="23" t="str">
        <f t="shared" si="30"/>
        <v/>
      </c>
      <c r="G106" s="23" t="str">
        <f t="shared" si="32"/>
        <v/>
      </c>
      <c r="H106" s="23" t="str">
        <f t="shared" si="33"/>
        <v/>
      </c>
      <c r="I106" s="23" t="str">
        <f t="shared" si="31"/>
        <v/>
      </c>
      <c r="J106" s="121"/>
      <c r="K106" s="122">
        <f>155147</f>
        <v>155147</v>
      </c>
      <c r="L106" s="122">
        <f>151900</f>
        <v>151900</v>
      </c>
      <c r="M106" s="115">
        <f>152982+1200</f>
        <v>154182</v>
      </c>
      <c r="N106" s="115">
        <f>154064+1200</f>
        <v>155264</v>
      </c>
      <c r="O106" s="115">
        <f>155147+1100</f>
        <v>156247</v>
      </c>
      <c r="P106" s="123">
        <v>2.17</v>
      </c>
      <c r="Q106" s="124"/>
      <c r="R106" s="238">
        <v>250</v>
      </c>
      <c r="S106" s="238">
        <v>125</v>
      </c>
      <c r="T106" s="121"/>
      <c r="U106" s="125">
        <v>200</v>
      </c>
      <c r="V106" s="125">
        <v>100</v>
      </c>
      <c r="W106" s="127" t="s">
        <v>536</v>
      </c>
      <c r="X106" s="127" t="s">
        <v>539</v>
      </c>
    </row>
    <row r="107" spans="1:24" ht="13.5" customHeight="1" x14ac:dyDescent="0.25">
      <c r="A107" s="120">
        <v>175900</v>
      </c>
      <c r="B107" s="129" t="s">
        <v>646</v>
      </c>
      <c r="C107" s="22">
        <v>80000</v>
      </c>
      <c r="D107" s="23">
        <f t="shared" si="28"/>
        <v>18848.382833333333</v>
      </c>
      <c r="E107" s="23">
        <f t="shared" si="29"/>
        <v>10495.466166666667</v>
      </c>
      <c r="F107" s="23">
        <f t="shared" si="30"/>
        <v>7752.8272777777784</v>
      </c>
      <c r="G107" s="23">
        <f t="shared" si="32"/>
        <v>6381.5078333333331</v>
      </c>
      <c r="H107" s="23">
        <f t="shared" si="33"/>
        <v>5558.7161666666661</v>
      </c>
      <c r="I107" s="23">
        <f t="shared" si="31"/>
        <v>5010.1883888888888</v>
      </c>
      <c r="J107" s="121"/>
      <c r="K107" s="122">
        <f>178735</f>
        <v>178735</v>
      </c>
      <c r="L107" s="122">
        <f>175900</f>
        <v>175900</v>
      </c>
      <c r="M107" s="115">
        <f>176845+1200</f>
        <v>178045</v>
      </c>
      <c r="N107" s="115">
        <f>177790+1200</f>
        <v>178990</v>
      </c>
      <c r="O107" s="115">
        <f>178735+1100</f>
        <v>179835</v>
      </c>
      <c r="P107" s="123">
        <v>2.17</v>
      </c>
      <c r="Q107" s="124"/>
      <c r="R107" s="238">
        <v>250</v>
      </c>
      <c r="S107" s="238">
        <v>125</v>
      </c>
      <c r="T107" s="121"/>
      <c r="U107" s="125">
        <v>200</v>
      </c>
      <c r="V107" s="125">
        <v>100</v>
      </c>
      <c r="W107" s="127" t="s">
        <v>641</v>
      </c>
      <c r="X107" s="127" t="s">
        <v>644</v>
      </c>
    </row>
    <row r="108" spans="1:24" ht="13.5" customHeight="1" x14ac:dyDescent="0.25">
      <c r="A108" s="120">
        <v>155900</v>
      </c>
      <c r="B108" s="129" t="s">
        <v>647</v>
      </c>
      <c r="C108" s="22">
        <v>80000</v>
      </c>
      <c r="D108" s="23">
        <f t="shared" si="28"/>
        <v>15147.919666666667</v>
      </c>
      <c r="E108" s="23">
        <f t="shared" si="29"/>
        <v>8432.0863333333327</v>
      </c>
      <c r="F108" s="23">
        <f t="shared" si="30"/>
        <v>6235.1418888888893</v>
      </c>
      <c r="G108" s="23">
        <f t="shared" si="32"/>
        <v>5136.6696666666667</v>
      </c>
      <c r="H108" s="23">
        <f t="shared" si="33"/>
        <v>4477.5863333333327</v>
      </c>
      <c r="I108" s="23">
        <f t="shared" si="31"/>
        <v>4038.1974444444445</v>
      </c>
      <c r="J108" s="121"/>
      <c r="K108" s="122">
        <f>159090</f>
        <v>159090</v>
      </c>
      <c r="L108" s="122">
        <f>155900</f>
        <v>155900</v>
      </c>
      <c r="M108" s="115">
        <f>156963+1200</f>
        <v>158163</v>
      </c>
      <c r="N108" s="115">
        <f>158026+1200</f>
        <v>159226</v>
      </c>
      <c r="O108" s="115">
        <f>159090+1100</f>
        <v>160190</v>
      </c>
      <c r="P108" s="123">
        <v>2.17</v>
      </c>
      <c r="Q108" s="124"/>
      <c r="R108" s="238">
        <v>250</v>
      </c>
      <c r="S108" s="238">
        <v>125</v>
      </c>
      <c r="T108" s="121"/>
      <c r="U108" s="125">
        <v>200</v>
      </c>
      <c r="V108" s="125">
        <v>100</v>
      </c>
      <c r="W108" s="127" t="s">
        <v>641</v>
      </c>
      <c r="X108" s="127" t="s">
        <v>645</v>
      </c>
    </row>
    <row r="109" spans="1:24" ht="13.5" customHeight="1" x14ac:dyDescent="0.25">
      <c r="A109" s="120">
        <v>249000</v>
      </c>
      <c r="B109" s="129" t="s">
        <v>320</v>
      </c>
      <c r="C109" s="22"/>
      <c r="D109" s="23" t="str">
        <f t="shared" si="28"/>
        <v/>
      </c>
      <c r="E109" s="23" t="str">
        <f t="shared" si="29"/>
        <v/>
      </c>
      <c r="F109" s="23" t="str">
        <f t="shared" si="30"/>
        <v/>
      </c>
      <c r="G109" s="23" t="str">
        <f t="shared" si="32"/>
        <v/>
      </c>
      <c r="H109" s="231"/>
      <c r="I109" s="231"/>
      <c r="J109" s="121"/>
      <c r="K109" s="122">
        <v>255273</v>
      </c>
      <c r="L109" s="122">
        <v>249000</v>
      </c>
      <c r="M109" s="115">
        <f>251091+1200</f>
        <v>252291</v>
      </c>
      <c r="N109" s="115">
        <f>253182+1200</f>
        <v>254382</v>
      </c>
      <c r="O109" s="115">
        <f>255273+1100</f>
        <v>256373</v>
      </c>
      <c r="P109" s="123">
        <v>2.17</v>
      </c>
      <c r="Q109" s="124"/>
      <c r="R109" s="238">
        <v>250</v>
      </c>
      <c r="S109" s="238">
        <v>125</v>
      </c>
      <c r="T109" s="121"/>
      <c r="U109" s="125">
        <v>200</v>
      </c>
      <c r="V109" s="125">
        <v>100</v>
      </c>
      <c r="W109" s="127" t="s">
        <v>321</v>
      </c>
      <c r="X109" s="126" t="s">
        <v>322</v>
      </c>
    </row>
    <row r="110" spans="1:24" ht="13.5" customHeight="1" x14ac:dyDescent="0.25">
      <c r="A110" s="277">
        <v>299500</v>
      </c>
      <c r="B110" s="129" t="s">
        <v>365</v>
      </c>
      <c r="C110" s="282"/>
      <c r="D110" s="284" t="str">
        <f>IF(C110&gt;=1,(K110-C110)*(1+P110*$D$4/100)/$D$4+Q110+R110,"")</f>
        <v/>
      </c>
      <c r="E110" s="284" t="str">
        <f>IF(C110&gt;=1,(K110-C110)*(1+P110*$E$4/100)/$E$4+Q110+S110,"")</f>
        <v/>
      </c>
      <c r="F110" s="284" t="str">
        <f>IF(C110&gt;=1,(K110-C110)*(1+$P110*$F$4/100)/$F$4+Q110+S110, "")</f>
        <v/>
      </c>
      <c r="G110" s="284" t="str">
        <f>IF(C110&gt;=1, (K110-C110)*(1+$P110*$G$4/100)/$G$4+Q110+S110,"")</f>
        <v/>
      </c>
      <c r="H110" s="292"/>
      <c r="I110" s="292"/>
      <c r="J110" s="121"/>
      <c r="K110" s="288">
        <v>301921</v>
      </c>
      <c r="L110" s="288">
        <v>299500</v>
      </c>
      <c r="M110" s="290">
        <f>300307+1200</f>
        <v>301507</v>
      </c>
      <c r="N110" s="290">
        <f>301114+1200</f>
        <v>302314</v>
      </c>
      <c r="O110" s="290">
        <f>301921+1100</f>
        <v>303021</v>
      </c>
      <c r="P110" s="294">
        <v>2.17</v>
      </c>
      <c r="Q110" s="124"/>
      <c r="R110" s="296">
        <v>250</v>
      </c>
      <c r="S110" s="296">
        <v>125</v>
      </c>
      <c r="T110" s="121"/>
      <c r="U110" s="295">
        <v>350</v>
      </c>
      <c r="V110" s="295">
        <v>100</v>
      </c>
      <c r="W110" s="286" t="s">
        <v>467</v>
      </c>
      <c r="X110" s="287" t="s">
        <v>468</v>
      </c>
    </row>
    <row r="111" spans="1:24" ht="13.5" customHeight="1" x14ac:dyDescent="0.25">
      <c r="A111" s="278"/>
      <c r="B111" s="129" t="s">
        <v>491</v>
      </c>
      <c r="C111" s="283"/>
      <c r="D111" s="285"/>
      <c r="E111" s="285"/>
      <c r="F111" s="285"/>
      <c r="G111" s="285"/>
      <c r="H111" s="293"/>
      <c r="I111" s="293"/>
      <c r="J111" s="121"/>
      <c r="K111" s="289"/>
      <c r="L111" s="289"/>
      <c r="M111" s="291"/>
      <c r="N111" s="291"/>
      <c r="O111" s="291"/>
      <c r="P111" s="294"/>
      <c r="Q111" s="124"/>
      <c r="R111" s="296"/>
      <c r="S111" s="296"/>
      <c r="T111" s="121"/>
      <c r="U111" s="295"/>
      <c r="V111" s="295"/>
      <c r="W111" s="286"/>
      <c r="X111" s="287"/>
    </row>
    <row r="112" spans="1:24" ht="13.5" customHeight="1" x14ac:dyDescent="0.25">
      <c r="A112" s="245">
        <v>306000</v>
      </c>
      <c r="B112" s="129" t="s">
        <v>574</v>
      </c>
      <c r="C112" s="216"/>
      <c r="D112" s="244" t="str">
        <f>IF(C112&gt;=1,(K112-C112)*(1+P112*$D$4/100)/$D$4+Q112+R112,"")</f>
        <v/>
      </c>
      <c r="E112" s="244" t="str">
        <f>IF(C112&gt;=1,(K112-C112)*(1+P112*$E$4/100)/$E$4+Q112+S112,"")</f>
        <v/>
      </c>
      <c r="F112" s="244" t="str">
        <f>IF(C112&gt;=1,(K112-C112)*(1+$P112*$F$4/100)/$F$4+Q112+S112, "")</f>
        <v/>
      </c>
      <c r="G112" s="244" t="str">
        <f>IF(C112&gt;=1, (K112-C112)*(1+$P112*$G$4/100)/$G$4+Q112+S112,"")</f>
        <v/>
      </c>
      <c r="H112" s="242"/>
      <c r="I112" s="242"/>
      <c r="J112" s="121"/>
      <c r="K112" s="246">
        <v>308421</v>
      </c>
      <c r="L112" s="246">
        <v>306000</v>
      </c>
      <c r="M112" s="247">
        <f>306807+1200</f>
        <v>308007</v>
      </c>
      <c r="N112" s="247">
        <f>307614+1200</f>
        <v>308814</v>
      </c>
      <c r="O112" s="247">
        <f>308421+1100</f>
        <v>309521</v>
      </c>
      <c r="P112" s="243">
        <v>2.17</v>
      </c>
      <c r="Q112" s="124"/>
      <c r="R112" s="248">
        <v>250</v>
      </c>
      <c r="S112" s="238">
        <v>125</v>
      </c>
      <c r="T112" s="121"/>
      <c r="U112" s="121">
        <v>350</v>
      </c>
      <c r="V112" s="121">
        <v>100</v>
      </c>
      <c r="W112" s="127" t="s">
        <v>572</v>
      </c>
      <c r="X112" s="126" t="s">
        <v>575</v>
      </c>
    </row>
    <row r="113" spans="1:26" ht="13.5" customHeight="1" x14ac:dyDescent="0.25">
      <c r="A113" s="245">
        <v>311000</v>
      </c>
      <c r="B113" s="129" t="s">
        <v>665</v>
      </c>
      <c r="C113" s="216">
        <v>20000</v>
      </c>
      <c r="D113" s="244">
        <f>IF(C113&gt;=1,(K113-C113)*(1+P113*$D$4/100)/$D$4+Q113+R113,"")</f>
        <v>55520.73569999999</v>
      </c>
      <c r="E113" s="244">
        <f>IF(C113&gt;=1,(K113-C113)*(1+P113*$E$4/100)/$E$4+Q113+S113,"")</f>
        <v>30943.985700000001</v>
      </c>
      <c r="F113" s="244">
        <f>IF(C113&gt;=1,(K113-C113)*(1+$P113*$F$4/100)/$F$4+Q113+S113, "")</f>
        <v>22793.402366666665</v>
      </c>
      <c r="G113" s="244">
        <f>IF(C113&gt;=1, (K113-C113)*(1+$P113*$G$4/100)/$G$4+Q113+S113,"")</f>
        <v>18718.110700000001</v>
      </c>
      <c r="H113" s="242"/>
      <c r="I113" s="242"/>
      <c r="J113" s="121"/>
      <c r="K113" s="246">
        <f>313421</f>
        <v>313421</v>
      </c>
      <c r="L113" s="246">
        <v>311000</v>
      </c>
      <c r="M113" s="247">
        <f>311807+1200</f>
        <v>313007</v>
      </c>
      <c r="N113" s="247">
        <f>312614+1200</f>
        <v>313814</v>
      </c>
      <c r="O113" s="247">
        <f>313421+1100</f>
        <v>314521</v>
      </c>
      <c r="P113" s="243">
        <v>2.17</v>
      </c>
      <c r="Q113" s="124"/>
      <c r="R113" s="248">
        <v>250</v>
      </c>
      <c r="S113" s="238">
        <v>125</v>
      </c>
      <c r="T113" s="121"/>
      <c r="U113" s="121">
        <v>350</v>
      </c>
      <c r="V113" s="121">
        <v>100</v>
      </c>
      <c r="W113" s="127" t="s">
        <v>667</v>
      </c>
      <c r="X113" s="126" t="s">
        <v>666</v>
      </c>
    </row>
    <row r="114" spans="1:26" s="128" customFormat="1" x14ac:dyDescent="0.25">
      <c r="A114" s="120">
        <v>71900</v>
      </c>
      <c r="B114" s="129" t="s">
        <v>302</v>
      </c>
      <c r="C114" s="22"/>
      <c r="D114" s="23" t="str">
        <f>IF(C114&gt;=1,(K114-C114)*(1+P114*$D$4/100)/$D$4+Q114+R114,"")</f>
        <v/>
      </c>
      <c r="E114" s="23" t="str">
        <f>IF(C114&gt;=1,(K114-C114)*(1+P114*$E$4/100)/$E$4+Q114+S114,"")</f>
        <v/>
      </c>
      <c r="F114" s="23" t="str">
        <f>IF(C114&gt;=1,(K114-C114)*(1+$P114*$F$4/100)/$F$4+Q114+S114, "")</f>
        <v/>
      </c>
      <c r="G114" s="23" t="str">
        <f>IF(C114&gt;=1, (K114-C114)*(1+$P114*$G$4/100)/$G$4+Q114+S114,"")</f>
        <v/>
      </c>
      <c r="H114" s="23" t="str">
        <f>IF(C114&gt;=1, (K114-C114)*(1+$P114*$H$4/100)/$H$4+Q114+S114, "")</f>
        <v/>
      </c>
      <c r="I114" s="23" t="str">
        <f>IF(C114&gt;=1, (K114-C114)*(1+$P114*$I$4/100)/$I$4+Q114+S114, "")</f>
        <v/>
      </c>
      <c r="J114" s="121"/>
      <c r="K114" s="122">
        <v>73977</v>
      </c>
      <c r="L114" s="122">
        <v>72619</v>
      </c>
      <c r="M114" s="115">
        <f>73071+1200</f>
        <v>74271</v>
      </c>
      <c r="N114" s="115">
        <f>73524+1200</f>
        <v>74724</v>
      </c>
      <c r="O114" s="115">
        <f>73977+1100</f>
        <v>75077</v>
      </c>
      <c r="P114" s="123">
        <v>2.17</v>
      </c>
      <c r="Q114" s="124"/>
      <c r="R114" s="238">
        <v>250</v>
      </c>
      <c r="S114" s="238">
        <v>125</v>
      </c>
      <c r="T114" s="121"/>
      <c r="U114" s="125">
        <v>200</v>
      </c>
      <c r="V114" s="125">
        <v>50</v>
      </c>
      <c r="W114" s="126"/>
      <c r="X114" s="126">
        <v>43973</v>
      </c>
    </row>
    <row r="115" spans="1:26" s="128" customFormat="1" x14ac:dyDescent="0.25">
      <c r="A115" s="120">
        <v>77900</v>
      </c>
      <c r="B115" s="129" t="s">
        <v>401</v>
      </c>
      <c r="C115" s="22"/>
      <c r="D115" s="23" t="str">
        <f t="shared" ref="D115:D192" si="34">IF(C115&gt;=1,(K115-C115)*(1+P115*$D$4/100)/$D$4+Q115+R115,"")</f>
        <v/>
      </c>
      <c r="E115" s="23" t="str">
        <f t="shared" ref="E115:E140" si="35">IF(C115&gt;=1,(K115-C115)*(1+P115*$E$4/100)/$E$4+Q115+S115,"")</f>
        <v/>
      </c>
      <c r="F115" s="23" t="str">
        <f t="shared" ref="F115:F117" si="36">IF(C115&gt;=1,(K115-C115)*(1+$P115*$F$4/100)/$F$4+Q115+S115, "")</f>
        <v/>
      </c>
      <c r="G115" s="23" t="str">
        <f>IF(C115&gt;=1, (K115-C115)*(1+$P115*$G$4/100)/$G$4+Q115+S115,"")</f>
        <v/>
      </c>
      <c r="H115" s="23" t="str">
        <f t="shared" ref="H115:H192" si="37">IF(C115&gt;=1, (K115-C115)*(1+$P115*$H$4/100)/$H$4+Q115+S115, "")</f>
        <v/>
      </c>
      <c r="I115" s="23" t="str">
        <f t="shared" ref="I115:I192" si="38">IF(C115&gt;=1, (K115-C115)*(1+$P115*$I$4/100)/$I$4+Q115+S115, "")</f>
        <v/>
      </c>
      <c r="J115" s="121"/>
      <c r="K115" s="122">
        <f>79977</f>
        <v>79977</v>
      </c>
      <c r="L115" s="122">
        <f>78619</f>
        <v>78619</v>
      </c>
      <c r="M115" s="115">
        <f>79071+1200</f>
        <v>80271</v>
      </c>
      <c r="N115" s="115">
        <f>79524+1200</f>
        <v>80724</v>
      </c>
      <c r="O115" s="115">
        <f>79977+1100</f>
        <v>81077</v>
      </c>
      <c r="P115" s="123">
        <v>2.17</v>
      </c>
      <c r="Q115" s="124"/>
      <c r="R115" s="238">
        <v>250</v>
      </c>
      <c r="S115" s="238">
        <v>125</v>
      </c>
      <c r="T115" s="121"/>
      <c r="U115" s="125">
        <v>200</v>
      </c>
      <c r="V115" s="125">
        <v>100</v>
      </c>
      <c r="W115" s="126">
        <v>44939</v>
      </c>
      <c r="X115" s="126" t="s">
        <v>445</v>
      </c>
    </row>
    <row r="116" spans="1:26" s="128" customFormat="1" x14ac:dyDescent="0.25">
      <c r="A116" s="120">
        <v>82900</v>
      </c>
      <c r="B116" s="129" t="s">
        <v>470</v>
      </c>
      <c r="C116" s="22"/>
      <c r="D116" s="23" t="str">
        <f t="shared" si="34"/>
        <v/>
      </c>
      <c r="E116" s="23" t="str">
        <f t="shared" si="35"/>
        <v/>
      </c>
      <c r="F116" s="23" t="str">
        <f t="shared" si="36"/>
        <v/>
      </c>
      <c r="G116" s="23" t="str">
        <f t="shared" ref="G116:G193" si="39">IF(C116&gt;=1, (K116-C116)*(1+$P116*$G$4/100)/$G$4+Q116+S116,"")</f>
        <v/>
      </c>
      <c r="H116" s="23" t="str">
        <f t="shared" si="37"/>
        <v/>
      </c>
      <c r="I116" s="23" t="str">
        <f t="shared" si="38"/>
        <v/>
      </c>
      <c r="J116" s="121"/>
      <c r="K116" s="122">
        <f>84141</f>
        <v>84141</v>
      </c>
      <c r="L116" s="122">
        <f>82900</f>
        <v>82900</v>
      </c>
      <c r="M116" s="115">
        <f>83313+1200</f>
        <v>84513</v>
      </c>
      <c r="N116" s="115">
        <f>83727+1200</f>
        <v>84927</v>
      </c>
      <c r="O116" s="115">
        <f>84141+1100</f>
        <v>85241</v>
      </c>
      <c r="P116" s="123">
        <v>2.17</v>
      </c>
      <c r="Q116" s="124"/>
      <c r="R116" s="238">
        <v>250</v>
      </c>
      <c r="S116" s="238">
        <v>125</v>
      </c>
      <c r="T116" s="121"/>
      <c r="U116" s="125">
        <v>200</v>
      </c>
      <c r="V116" s="125">
        <v>100</v>
      </c>
      <c r="W116" s="126">
        <v>45008</v>
      </c>
      <c r="X116" s="126" t="s">
        <v>471</v>
      </c>
    </row>
    <row r="117" spans="1:26" x14ac:dyDescent="0.25">
      <c r="A117" s="120">
        <v>83900</v>
      </c>
      <c r="B117" s="129" t="s">
        <v>307</v>
      </c>
      <c r="C117" s="22"/>
      <c r="D117" s="23" t="str">
        <f t="shared" si="34"/>
        <v/>
      </c>
      <c r="E117" s="23" t="str">
        <f t="shared" si="35"/>
        <v/>
      </c>
      <c r="F117" s="23" t="str">
        <f t="shared" si="36"/>
        <v/>
      </c>
      <c r="G117" s="23" t="str">
        <f t="shared" si="39"/>
        <v/>
      </c>
      <c r="H117" s="23" t="str">
        <f t="shared" si="37"/>
        <v/>
      </c>
      <c r="I117" s="23" t="str">
        <f t="shared" si="38"/>
        <v/>
      </c>
      <c r="J117" s="121"/>
      <c r="K117" s="122">
        <v>85100</v>
      </c>
      <c r="L117" s="122">
        <v>83900</v>
      </c>
      <c r="M117" s="115">
        <f>85260+240</f>
        <v>85500</v>
      </c>
      <c r="N117" s="115">
        <f>85660+240</f>
        <v>85900</v>
      </c>
      <c r="O117" s="115">
        <f>85960+240</f>
        <v>86200</v>
      </c>
      <c r="P117" s="123">
        <v>2.17</v>
      </c>
      <c r="Q117" s="124"/>
      <c r="R117" s="238">
        <v>250</v>
      </c>
      <c r="S117" s="238">
        <v>125</v>
      </c>
      <c r="T117" s="121"/>
      <c r="U117" s="125">
        <v>200</v>
      </c>
      <c r="V117" s="125">
        <v>100</v>
      </c>
      <c r="W117" s="127" t="s">
        <v>303</v>
      </c>
      <c r="X117" s="127" t="s">
        <v>308</v>
      </c>
    </row>
    <row r="118" spans="1:26" x14ac:dyDescent="0.25">
      <c r="A118" s="120">
        <v>79900</v>
      </c>
      <c r="B118" s="129" t="s">
        <v>305</v>
      </c>
      <c r="C118" s="22"/>
      <c r="D118" s="23" t="str">
        <f t="shared" si="34"/>
        <v/>
      </c>
      <c r="E118" s="23" t="str">
        <f t="shared" si="35"/>
        <v/>
      </c>
      <c r="F118" s="23" t="str">
        <f>IF(C118&gt;=1,(K118-C118)*(1+$P118*$F$4/100)/$F$4+Q118+S118, "")</f>
        <v/>
      </c>
      <c r="G118" s="23" t="str">
        <f t="shared" si="39"/>
        <v/>
      </c>
      <c r="H118" s="23" t="str">
        <f t="shared" si="37"/>
        <v/>
      </c>
      <c r="I118" s="23" t="str">
        <f t="shared" si="38"/>
        <v/>
      </c>
      <c r="J118" s="121"/>
      <c r="K118" s="122">
        <v>81100</v>
      </c>
      <c r="L118" s="122">
        <v>79800</v>
      </c>
      <c r="M118" s="115">
        <f>81194+240</f>
        <v>81434</v>
      </c>
      <c r="N118" s="115">
        <f>81628+240</f>
        <v>81868</v>
      </c>
      <c r="O118" s="115">
        <f>81960+240</f>
        <v>82200</v>
      </c>
      <c r="P118" s="123">
        <v>2.17</v>
      </c>
      <c r="Q118" s="124"/>
      <c r="R118" s="238">
        <v>250</v>
      </c>
      <c r="S118" s="238">
        <v>125</v>
      </c>
      <c r="T118" s="121"/>
      <c r="U118" s="125">
        <v>200</v>
      </c>
      <c r="V118" s="125">
        <v>50</v>
      </c>
      <c r="W118" s="127" t="s">
        <v>303</v>
      </c>
      <c r="X118" s="127" t="s">
        <v>306</v>
      </c>
    </row>
    <row r="119" spans="1:26" s="128" customFormat="1" x14ac:dyDescent="0.25">
      <c r="A119" s="120">
        <v>73900</v>
      </c>
      <c r="B119" s="129" t="s">
        <v>295</v>
      </c>
      <c r="C119" s="22"/>
      <c r="D119" s="23" t="str">
        <f t="shared" si="34"/>
        <v/>
      </c>
      <c r="E119" s="23" t="str">
        <f t="shared" si="35"/>
        <v/>
      </c>
      <c r="F119" s="23" t="str">
        <f t="shared" ref="F119:F192" si="40">IF(C119&gt;=1,(K119-C119)*(1+$P119*$F$4/100)/$F$4+Q119+S119, "")</f>
        <v/>
      </c>
      <c r="G119" s="23" t="str">
        <f t="shared" si="39"/>
        <v/>
      </c>
      <c r="H119" s="23" t="str">
        <f t="shared" si="37"/>
        <v/>
      </c>
      <c r="I119" s="23" t="str">
        <f t="shared" si="38"/>
        <v/>
      </c>
      <c r="J119" s="121"/>
      <c r="K119" s="115">
        <f>75600</f>
        <v>75600</v>
      </c>
      <c r="L119" s="122">
        <f>74600</f>
        <v>74600</v>
      </c>
      <c r="M119" s="115">
        <f>74933+1200</f>
        <v>76133</v>
      </c>
      <c r="N119" s="115">
        <f>75266+1200</f>
        <v>76466</v>
      </c>
      <c r="O119" s="115">
        <f>75600+1100</f>
        <v>76700</v>
      </c>
      <c r="P119" s="123">
        <v>2.17</v>
      </c>
      <c r="Q119" s="124"/>
      <c r="R119" s="238">
        <v>250</v>
      </c>
      <c r="S119" s="238">
        <v>125</v>
      </c>
      <c r="T119" s="121"/>
      <c r="U119" s="125">
        <v>200</v>
      </c>
      <c r="V119" s="125">
        <v>50</v>
      </c>
      <c r="W119" s="127" t="s">
        <v>443</v>
      </c>
      <c r="X119" s="126" t="s">
        <v>446</v>
      </c>
    </row>
    <row r="120" spans="1:26" s="128" customFormat="1" x14ac:dyDescent="0.25">
      <c r="A120" s="113">
        <v>99800</v>
      </c>
      <c r="B120" s="27" t="s">
        <v>172</v>
      </c>
      <c r="C120" s="22"/>
      <c r="D120" s="23" t="str">
        <f t="shared" si="34"/>
        <v/>
      </c>
      <c r="E120" s="23" t="str">
        <f t="shared" si="35"/>
        <v/>
      </c>
      <c r="F120" s="23" t="str">
        <f t="shared" si="40"/>
        <v/>
      </c>
      <c r="G120" s="23" t="str">
        <f t="shared" si="39"/>
        <v/>
      </c>
      <c r="H120" s="23" t="str">
        <f t="shared" si="37"/>
        <v/>
      </c>
      <c r="I120" s="23" t="str">
        <f t="shared" si="38"/>
        <v/>
      </c>
      <c r="J120" s="114"/>
      <c r="K120" s="115">
        <v>101395</v>
      </c>
      <c r="L120" s="115">
        <v>99800</v>
      </c>
      <c r="M120" s="115">
        <f>101291+1200</f>
        <v>102491</v>
      </c>
      <c r="N120" s="115">
        <f>101823+1200</f>
        <v>103023</v>
      </c>
      <c r="O120" s="115">
        <f>102255+1100</f>
        <v>103355</v>
      </c>
      <c r="P120" s="116">
        <v>2.17</v>
      </c>
      <c r="Q120" s="130"/>
      <c r="R120" s="238">
        <v>250</v>
      </c>
      <c r="S120" s="238">
        <v>125</v>
      </c>
      <c r="T120" s="114"/>
      <c r="U120" s="118">
        <v>200</v>
      </c>
      <c r="V120" s="118">
        <v>100</v>
      </c>
      <c r="W120" s="150" t="s">
        <v>173</v>
      </c>
      <c r="X120" s="150"/>
    </row>
    <row r="121" spans="1:26" s="128" customFormat="1" x14ac:dyDescent="0.25">
      <c r="A121" s="113">
        <v>102800</v>
      </c>
      <c r="B121" s="27" t="s">
        <v>142</v>
      </c>
      <c r="C121" s="22"/>
      <c r="D121" s="23" t="str">
        <f t="shared" si="34"/>
        <v/>
      </c>
      <c r="E121" s="23" t="str">
        <f>IF(C121&gt;=1,(K121-C121)*(1+P121*$E$4/100)/$E$4+Q121+S121,"")</f>
        <v/>
      </c>
      <c r="F121" s="23" t="str">
        <f t="shared" si="40"/>
        <v/>
      </c>
      <c r="G121" s="23" t="str">
        <f t="shared" si="39"/>
        <v/>
      </c>
      <c r="H121" s="23" t="str">
        <f t="shared" si="37"/>
        <v/>
      </c>
      <c r="I121" s="23" t="str">
        <f t="shared" si="38"/>
        <v/>
      </c>
      <c r="J121" s="114"/>
      <c r="K121" s="115">
        <v>106975</v>
      </c>
      <c r="L121" s="115">
        <v>102800</v>
      </c>
      <c r="M121" s="115">
        <f>105151+1200</f>
        <v>106351</v>
      </c>
      <c r="N121" s="115">
        <f>106543+1200</f>
        <v>107743</v>
      </c>
      <c r="O121" s="115">
        <f>107835+1100</f>
        <v>108935</v>
      </c>
      <c r="P121" s="116">
        <v>2.17</v>
      </c>
      <c r="Q121" s="130"/>
      <c r="R121" s="238">
        <v>250</v>
      </c>
      <c r="S121" s="238">
        <v>125</v>
      </c>
      <c r="T121" s="114"/>
      <c r="U121" s="118">
        <v>200</v>
      </c>
      <c r="V121" s="118">
        <v>100</v>
      </c>
      <c r="W121" s="119"/>
      <c r="X121" s="119"/>
    </row>
    <row r="122" spans="1:26" s="128" customFormat="1" x14ac:dyDescent="0.25">
      <c r="A122" s="113">
        <v>102900</v>
      </c>
      <c r="B122" s="129" t="s">
        <v>230</v>
      </c>
      <c r="C122" s="22"/>
      <c r="D122" s="23" t="str">
        <f t="shared" si="34"/>
        <v/>
      </c>
      <c r="E122" s="23" t="str">
        <f t="shared" si="35"/>
        <v/>
      </c>
      <c r="F122" s="23" t="str">
        <f t="shared" si="40"/>
        <v/>
      </c>
      <c r="G122" s="23" t="str">
        <f t="shared" si="39"/>
        <v/>
      </c>
      <c r="H122" s="23" t="str">
        <f t="shared" si="37"/>
        <v/>
      </c>
      <c r="I122" s="23" t="str">
        <f t="shared" si="38"/>
        <v/>
      </c>
      <c r="J122" s="114"/>
      <c r="K122" s="115">
        <v>107019</v>
      </c>
      <c r="L122" s="115">
        <v>102900</v>
      </c>
      <c r="M122" s="115">
        <f>104273+1200</f>
        <v>105473</v>
      </c>
      <c r="N122" s="115">
        <f>105646+1200</f>
        <v>106846</v>
      </c>
      <c r="O122" s="115">
        <f>107019+1100</f>
        <v>108119</v>
      </c>
      <c r="P122" s="116">
        <v>2.17</v>
      </c>
      <c r="Q122" s="130"/>
      <c r="R122" s="238">
        <v>250</v>
      </c>
      <c r="S122" s="238">
        <v>125</v>
      </c>
      <c r="T122" s="114"/>
      <c r="U122" s="118">
        <v>200</v>
      </c>
      <c r="V122" s="118">
        <v>100</v>
      </c>
      <c r="W122" s="119">
        <v>43861</v>
      </c>
      <c r="X122" s="119" t="s">
        <v>231</v>
      </c>
    </row>
    <row r="123" spans="1:26" s="128" customFormat="1" x14ac:dyDescent="0.25">
      <c r="A123" s="113">
        <v>105900</v>
      </c>
      <c r="B123" s="129" t="s">
        <v>183</v>
      </c>
      <c r="C123" s="22"/>
      <c r="D123" s="23" t="str">
        <f t="shared" si="34"/>
        <v/>
      </c>
      <c r="E123" s="23" t="str">
        <f t="shared" si="35"/>
        <v/>
      </c>
      <c r="F123" s="23" t="str">
        <f t="shared" si="40"/>
        <v/>
      </c>
      <c r="G123" s="23" t="str">
        <f t="shared" si="39"/>
        <v/>
      </c>
      <c r="H123" s="23" t="str">
        <f t="shared" si="37"/>
        <v/>
      </c>
      <c r="I123" s="23" t="str">
        <f t="shared" si="38"/>
        <v/>
      </c>
      <c r="J123" s="114"/>
      <c r="K123" s="115">
        <v>108986</v>
      </c>
      <c r="L123" s="115">
        <v>105900</v>
      </c>
      <c r="M123" s="115">
        <f>106928+1200</f>
        <v>108128</v>
      </c>
      <c r="N123" s="115">
        <f>107957+1200</f>
        <v>109157</v>
      </c>
      <c r="O123" s="115">
        <f>108986+1100</f>
        <v>110086</v>
      </c>
      <c r="P123" s="116">
        <v>2.17</v>
      </c>
      <c r="Q123" s="130"/>
      <c r="R123" s="238">
        <v>250</v>
      </c>
      <c r="S123" s="238">
        <v>125</v>
      </c>
      <c r="T123" s="114"/>
      <c r="U123" s="118">
        <v>200</v>
      </c>
      <c r="V123" s="118">
        <v>100</v>
      </c>
      <c r="W123" s="150" t="s">
        <v>182</v>
      </c>
      <c r="X123" s="150"/>
    </row>
    <row r="124" spans="1:26" s="128" customFormat="1" x14ac:dyDescent="0.25">
      <c r="A124" s="113">
        <v>122900</v>
      </c>
      <c r="B124" s="129" t="s">
        <v>264</v>
      </c>
      <c r="C124" s="22"/>
      <c r="D124" s="23" t="str">
        <f t="shared" si="34"/>
        <v/>
      </c>
      <c r="E124" s="23" t="str">
        <f t="shared" si="35"/>
        <v/>
      </c>
      <c r="F124" s="23" t="str">
        <f t="shared" si="40"/>
        <v/>
      </c>
      <c r="G124" s="23" t="str">
        <f t="shared" si="39"/>
        <v/>
      </c>
      <c r="H124" s="23" t="str">
        <f t="shared" si="37"/>
        <v/>
      </c>
      <c r="I124" s="23" t="str">
        <f t="shared" si="38"/>
        <v/>
      </c>
      <c r="J124" s="114"/>
      <c r="K124" s="115">
        <v>124530</v>
      </c>
      <c r="L124" s="115">
        <v>122900</v>
      </c>
      <c r="M124" s="115">
        <f>123443+1200</f>
        <v>124643</v>
      </c>
      <c r="N124" s="115">
        <f>123986+1200</f>
        <v>125186</v>
      </c>
      <c r="O124" s="115">
        <f>124530+1100</f>
        <v>125630</v>
      </c>
      <c r="P124" s="116">
        <v>2.17</v>
      </c>
      <c r="Q124" s="130"/>
      <c r="R124" s="238">
        <v>250</v>
      </c>
      <c r="S124" s="238">
        <v>125</v>
      </c>
      <c r="T124" s="114"/>
      <c r="U124" s="118">
        <v>200</v>
      </c>
      <c r="V124" s="118">
        <v>100</v>
      </c>
      <c r="W124" s="119">
        <v>44070</v>
      </c>
      <c r="X124" s="119" t="s">
        <v>263</v>
      </c>
    </row>
    <row r="125" spans="1:26" s="128" customFormat="1" x14ac:dyDescent="0.25">
      <c r="A125" s="113">
        <v>124900</v>
      </c>
      <c r="B125" s="209" t="s">
        <v>272</v>
      </c>
      <c r="C125" s="22"/>
      <c r="D125" s="23" t="str">
        <f t="shared" si="34"/>
        <v/>
      </c>
      <c r="E125" s="23" t="str">
        <f t="shared" si="35"/>
        <v/>
      </c>
      <c r="F125" s="23" t="str">
        <f t="shared" si="40"/>
        <v/>
      </c>
      <c r="G125" s="23" t="str">
        <f t="shared" si="39"/>
        <v/>
      </c>
      <c r="H125" s="23" t="str">
        <f t="shared" si="37"/>
        <v/>
      </c>
      <c r="I125" s="23" t="str">
        <f t="shared" si="38"/>
        <v/>
      </c>
      <c r="J125" s="114"/>
      <c r="K125" s="115">
        <v>127316</v>
      </c>
      <c r="L125" s="115">
        <v>124900</v>
      </c>
      <c r="M125" s="115">
        <f>125705+1200</f>
        <v>126905</v>
      </c>
      <c r="N125" s="115">
        <f>126510+1200</f>
        <v>127710</v>
      </c>
      <c r="O125" s="115">
        <f>127316+1100</f>
        <v>128416</v>
      </c>
      <c r="P125" s="116">
        <v>2.17</v>
      </c>
      <c r="Q125" s="130"/>
      <c r="R125" s="238">
        <v>250</v>
      </c>
      <c r="S125" s="238">
        <v>125</v>
      </c>
      <c r="T125" s="114"/>
      <c r="U125" s="118">
        <v>200</v>
      </c>
      <c r="V125" s="118">
        <v>100</v>
      </c>
      <c r="W125" s="150" t="s">
        <v>273</v>
      </c>
      <c r="X125" s="150" t="s">
        <v>274</v>
      </c>
    </row>
    <row r="126" spans="1:26" s="128" customFormat="1" x14ac:dyDescent="0.25">
      <c r="A126" s="113">
        <v>112900</v>
      </c>
      <c r="B126" s="209" t="s">
        <v>334</v>
      </c>
      <c r="C126" s="22"/>
      <c r="D126" s="23" t="str">
        <f t="shared" si="34"/>
        <v/>
      </c>
      <c r="E126" s="23" t="str">
        <f t="shared" si="35"/>
        <v/>
      </c>
      <c r="F126" s="23" t="str">
        <f t="shared" si="40"/>
        <v/>
      </c>
      <c r="G126" s="23" t="str">
        <f t="shared" si="39"/>
        <v/>
      </c>
      <c r="H126" s="23" t="str">
        <f t="shared" si="37"/>
        <v/>
      </c>
      <c r="I126" s="23" t="str">
        <f t="shared" si="38"/>
        <v/>
      </c>
      <c r="J126" s="114"/>
      <c r="K126" s="115">
        <v>114132</v>
      </c>
      <c r="L126" s="115">
        <v>112900</v>
      </c>
      <c r="M126" s="115">
        <f>113310+1200</f>
        <v>114510</v>
      </c>
      <c r="N126" s="115">
        <f>113721+1200</f>
        <v>114921</v>
      </c>
      <c r="O126" s="115">
        <f>114132+1100</f>
        <v>115232</v>
      </c>
      <c r="P126" s="116">
        <v>2.17</v>
      </c>
      <c r="Q126" s="130"/>
      <c r="R126" s="238">
        <v>250</v>
      </c>
      <c r="S126" s="238">
        <v>125</v>
      </c>
      <c r="T126" s="114"/>
      <c r="U126" s="118">
        <v>200</v>
      </c>
      <c r="V126" s="118">
        <v>100</v>
      </c>
      <c r="W126" s="150" t="s">
        <v>336</v>
      </c>
      <c r="X126" s="150" t="s">
        <v>335</v>
      </c>
      <c r="Y126" s="150" t="s">
        <v>293</v>
      </c>
      <c r="Z126" s="150" t="s">
        <v>294</v>
      </c>
    </row>
    <row r="127" spans="1:26" s="128" customFormat="1" x14ac:dyDescent="0.25">
      <c r="A127" s="113">
        <v>119900</v>
      </c>
      <c r="B127" s="209" t="s">
        <v>377</v>
      </c>
      <c r="C127" s="22"/>
      <c r="D127" s="23" t="str">
        <f t="shared" si="34"/>
        <v/>
      </c>
      <c r="E127" s="23" t="str">
        <f t="shared" si="35"/>
        <v/>
      </c>
      <c r="F127" s="23" t="str">
        <f t="shared" si="40"/>
        <v/>
      </c>
      <c r="G127" s="23" t="str">
        <f t="shared" si="39"/>
        <v/>
      </c>
      <c r="H127" s="23" t="str">
        <f t="shared" si="37"/>
        <v/>
      </c>
      <c r="I127" s="23" t="str">
        <f t="shared" si="38"/>
        <v/>
      </c>
      <c r="J127" s="114"/>
      <c r="K127" s="115">
        <f>121132</f>
        <v>121132</v>
      </c>
      <c r="L127" s="115">
        <f>119900</f>
        <v>119900</v>
      </c>
      <c r="M127" s="115">
        <f>120310+1200</f>
        <v>121510</v>
      </c>
      <c r="N127" s="115">
        <f>120721+1200</f>
        <v>121921</v>
      </c>
      <c r="O127" s="115">
        <f>121132+1100</f>
        <v>122232</v>
      </c>
      <c r="P127" s="116">
        <v>2.17</v>
      </c>
      <c r="Q127" s="130"/>
      <c r="R127" s="238">
        <v>250</v>
      </c>
      <c r="S127" s="238">
        <v>125</v>
      </c>
      <c r="T127" s="114"/>
      <c r="U127" s="118">
        <v>200</v>
      </c>
      <c r="V127" s="118">
        <v>100</v>
      </c>
      <c r="W127" s="150" t="s">
        <v>380</v>
      </c>
      <c r="X127" s="150" t="s">
        <v>381</v>
      </c>
    </row>
    <row r="128" spans="1:26" s="128" customFormat="1" x14ac:dyDescent="0.25">
      <c r="A128" s="113">
        <v>124000</v>
      </c>
      <c r="B128" s="209" t="s">
        <v>541</v>
      </c>
      <c r="C128" s="22"/>
      <c r="D128" s="23" t="str">
        <f t="shared" si="34"/>
        <v/>
      </c>
      <c r="E128" s="23" t="str">
        <f>IF(C128&gt;=1,(K128-C128)*(1+P128*$E$4/100)/$E$4+Q128+S128,"")</f>
        <v/>
      </c>
      <c r="F128" s="23" t="str">
        <f t="shared" si="40"/>
        <v/>
      </c>
      <c r="G128" s="23" t="str">
        <f t="shared" si="39"/>
        <v/>
      </c>
      <c r="H128" s="23" t="str">
        <f t="shared" si="37"/>
        <v/>
      </c>
      <c r="I128" s="23" t="str">
        <f t="shared" si="38"/>
        <v/>
      </c>
      <c r="J128" s="114"/>
      <c r="K128" s="115">
        <v>125232</v>
      </c>
      <c r="L128" s="115">
        <v>124000</v>
      </c>
      <c r="M128" s="115">
        <f>124410+1200</f>
        <v>125610</v>
      </c>
      <c r="N128" s="115">
        <f>124821+1200</f>
        <v>126021</v>
      </c>
      <c r="O128" s="115">
        <f>125232+1100</f>
        <v>126332</v>
      </c>
      <c r="P128" s="116">
        <v>2.17</v>
      </c>
      <c r="Q128" s="130"/>
      <c r="R128" s="238">
        <v>250</v>
      </c>
      <c r="S128" s="238">
        <v>125</v>
      </c>
      <c r="T128" s="114"/>
      <c r="U128" s="118">
        <v>200</v>
      </c>
      <c r="V128" s="118">
        <v>100</v>
      </c>
      <c r="W128" s="150" t="s">
        <v>536</v>
      </c>
      <c r="X128" s="150" t="s">
        <v>542</v>
      </c>
    </row>
    <row r="129" spans="1:26" s="128" customFormat="1" x14ac:dyDescent="0.25">
      <c r="A129" s="113">
        <v>132900</v>
      </c>
      <c r="B129" s="209" t="s">
        <v>337</v>
      </c>
      <c r="C129" s="22"/>
      <c r="D129" s="23" t="str">
        <f t="shared" si="34"/>
        <v/>
      </c>
      <c r="E129" s="23" t="str">
        <f t="shared" si="35"/>
        <v/>
      </c>
      <c r="F129" s="23" t="str">
        <f t="shared" si="40"/>
        <v/>
      </c>
      <c r="G129" s="23" t="str">
        <f t="shared" si="39"/>
        <v/>
      </c>
      <c r="H129" s="23" t="str">
        <f t="shared" si="37"/>
        <v/>
      </c>
      <c r="I129" s="23" t="str">
        <f t="shared" si="38"/>
        <v/>
      </c>
      <c r="J129" s="114"/>
      <c r="K129" s="115">
        <v>134854</v>
      </c>
      <c r="L129" s="115">
        <v>132900</v>
      </c>
      <c r="M129" s="115">
        <f>133551+1200</f>
        <v>134751</v>
      </c>
      <c r="N129" s="115">
        <f>134202+1200</f>
        <v>135402</v>
      </c>
      <c r="O129" s="115">
        <f>134854+1100</f>
        <v>135954</v>
      </c>
      <c r="P129" s="116">
        <v>2.17</v>
      </c>
      <c r="Q129" s="130"/>
      <c r="R129" s="238">
        <v>250</v>
      </c>
      <c r="S129" s="238">
        <v>125</v>
      </c>
      <c r="T129" s="114"/>
      <c r="U129" s="118">
        <v>200</v>
      </c>
      <c r="V129" s="118">
        <v>100</v>
      </c>
      <c r="W129" s="150" t="s">
        <v>336</v>
      </c>
      <c r="X129" s="150" t="s">
        <v>335</v>
      </c>
      <c r="Y129" s="150" t="s">
        <v>293</v>
      </c>
      <c r="Z129" s="150" t="s">
        <v>286</v>
      </c>
    </row>
    <row r="130" spans="1:26" s="128" customFormat="1" x14ac:dyDescent="0.25">
      <c r="A130" s="113">
        <v>140400</v>
      </c>
      <c r="B130" s="209" t="s">
        <v>379</v>
      </c>
      <c r="C130" s="22"/>
      <c r="D130" s="23" t="str">
        <f t="shared" si="34"/>
        <v/>
      </c>
      <c r="E130" s="23" t="str">
        <f t="shared" si="35"/>
        <v/>
      </c>
      <c r="F130" s="23" t="str">
        <f t="shared" si="40"/>
        <v/>
      </c>
      <c r="G130" s="23" t="str">
        <f t="shared" si="39"/>
        <v/>
      </c>
      <c r="H130" s="23" t="str">
        <f t="shared" si="37"/>
        <v/>
      </c>
      <c r="I130" s="23" t="str">
        <f t="shared" si="38"/>
        <v/>
      </c>
      <c r="J130" s="114"/>
      <c r="K130" s="115">
        <f>142354</f>
        <v>142354</v>
      </c>
      <c r="L130" s="115">
        <f>140400</f>
        <v>140400</v>
      </c>
      <c r="M130" s="115">
        <f>141051+1200</f>
        <v>142251</v>
      </c>
      <c r="N130" s="115">
        <f>141702+1200</f>
        <v>142902</v>
      </c>
      <c r="O130" s="115">
        <f>142354+1100</f>
        <v>143454</v>
      </c>
      <c r="P130" s="116">
        <v>2.17</v>
      </c>
      <c r="Q130" s="130"/>
      <c r="R130" s="238">
        <v>250</v>
      </c>
      <c r="S130" s="238">
        <v>125</v>
      </c>
      <c r="T130" s="114"/>
      <c r="U130" s="118">
        <v>200</v>
      </c>
      <c r="V130" s="118">
        <v>100</v>
      </c>
      <c r="W130" s="150" t="s">
        <v>380</v>
      </c>
      <c r="X130" s="150" t="s">
        <v>382</v>
      </c>
    </row>
    <row r="131" spans="1:26" s="128" customFormat="1" x14ac:dyDescent="0.25">
      <c r="A131" s="113">
        <v>146000</v>
      </c>
      <c r="B131" s="209" t="s">
        <v>408</v>
      </c>
      <c r="C131" s="22"/>
      <c r="D131" s="23" t="str">
        <f t="shared" si="34"/>
        <v/>
      </c>
      <c r="E131" s="23" t="str">
        <f t="shared" si="35"/>
        <v/>
      </c>
      <c r="F131" s="23" t="str">
        <f t="shared" si="40"/>
        <v/>
      </c>
      <c r="G131" s="23" t="str">
        <f t="shared" si="39"/>
        <v/>
      </c>
      <c r="H131" s="23" t="str">
        <f t="shared" si="37"/>
        <v/>
      </c>
      <c r="I131" s="23" t="str">
        <f t="shared" si="38"/>
        <v/>
      </c>
      <c r="J131" s="114"/>
      <c r="K131" s="115">
        <v>147954</v>
      </c>
      <c r="L131" s="115">
        <v>146000</v>
      </c>
      <c r="M131" s="115">
        <f>146651+1200</f>
        <v>147851</v>
      </c>
      <c r="N131" s="115">
        <f>147302+1200</f>
        <v>148502</v>
      </c>
      <c r="O131" s="115">
        <f>147954+1100</f>
        <v>149054</v>
      </c>
      <c r="P131" s="116">
        <v>2.17</v>
      </c>
      <c r="Q131" s="130"/>
      <c r="R131" s="238">
        <v>250</v>
      </c>
      <c r="S131" s="238">
        <v>125</v>
      </c>
      <c r="T131" s="114"/>
      <c r="U131" s="118">
        <v>200</v>
      </c>
      <c r="V131" s="118">
        <v>100</v>
      </c>
      <c r="W131" s="150" t="s">
        <v>536</v>
      </c>
      <c r="X131" s="150" t="s">
        <v>537</v>
      </c>
    </row>
    <row r="132" spans="1:26" s="128" customFormat="1" x14ac:dyDescent="0.25">
      <c r="A132" s="113">
        <v>125900</v>
      </c>
      <c r="B132" s="209" t="s">
        <v>695</v>
      </c>
      <c r="C132" s="22">
        <v>50000</v>
      </c>
      <c r="D132" s="23">
        <f t="shared" si="34"/>
        <v>14779.09773333333</v>
      </c>
      <c r="E132" s="23">
        <f t="shared" si="35"/>
        <v>8226.4310666666679</v>
      </c>
      <c r="F132" s="23">
        <f>IF(C132&gt;=1,(K132-C132)*(1+$P132*$F$4/100)/$F$4+Q132+S132, "")</f>
        <v>6083.8755111111113</v>
      </c>
      <c r="G132" s="23">
        <f>IF(C132&gt;=1, (K132-C132)*(1+$P132*$G$4/100)/$G$4+Q132+S132,"")</f>
        <v>5012.5977333333331</v>
      </c>
      <c r="H132" s="23">
        <f>IF(C132&gt;=1, (K132-C132)*(1+$P132*$H$4/100)/$H$4+Q132+S132, "")</f>
        <v>4369.8310666666666</v>
      </c>
      <c r="I132" s="23">
        <f>IF(C132&gt;=1, (K132-C132)*(1+$P132*$I$4/100)/$I$4+Q132+S132, "")</f>
        <v>3941.3199555555557</v>
      </c>
      <c r="J132" s="114"/>
      <c r="K132" s="115">
        <f>127132</f>
        <v>127132</v>
      </c>
      <c r="L132" s="115">
        <f>125900</f>
        <v>125900</v>
      </c>
      <c r="M132" s="115">
        <f>126310+1200</f>
        <v>127510</v>
      </c>
      <c r="N132" s="115">
        <f>126721+1200</f>
        <v>127921</v>
      </c>
      <c r="O132" s="115">
        <f>127132+1100</f>
        <v>128232</v>
      </c>
      <c r="P132" s="116">
        <v>2.17</v>
      </c>
      <c r="Q132" s="130"/>
      <c r="R132" s="238">
        <v>250</v>
      </c>
      <c r="S132" s="238">
        <v>125</v>
      </c>
      <c r="T132" s="114"/>
      <c r="U132" s="118">
        <v>200</v>
      </c>
      <c r="V132" s="118">
        <v>100</v>
      </c>
      <c r="W132" s="150" t="s">
        <v>692</v>
      </c>
      <c r="X132" s="150" t="s">
        <v>693</v>
      </c>
    </row>
    <row r="133" spans="1:26" s="128" customFormat="1" x14ac:dyDescent="0.25">
      <c r="A133" s="113">
        <v>163900</v>
      </c>
      <c r="B133" s="209" t="s">
        <v>694</v>
      </c>
      <c r="C133" s="22">
        <v>70000</v>
      </c>
      <c r="D133" s="23">
        <f t="shared" si="34"/>
        <v>18305.698466666665</v>
      </c>
      <c r="E133" s="23">
        <f t="shared" si="35"/>
        <v>10192.865133333333</v>
      </c>
      <c r="F133" s="23">
        <f>IF(C133&gt;=1,(K133-C133)*(1+$P133*$F$4/100)/$F$4+Q133+S133, "")</f>
        <v>7530.2540222222224</v>
      </c>
      <c r="G133" s="23">
        <f>IF(C133&gt;=1, (K133-C133)*(1+$P133*$G$4/100)/$G$4+Q133+S133,"")</f>
        <v>6198.9484666666658</v>
      </c>
      <c r="H133" s="23">
        <f>IF(C133&gt;=1, (K133-C133)*(1+$P133*$H$4/100)/$H$4+Q133+S133, "")</f>
        <v>5400.1651333333321</v>
      </c>
      <c r="I133" s="23">
        <f>IF(C133&gt;=1, (K133-C133)*(1+$P133*$I$4/100)/$I$4+Q133+S133, "")</f>
        <v>4867.6429111111111</v>
      </c>
      <c r="J133" s="114"/>
      <c r="K133" s="115">
        <f>165854</f>
        <v>165854</v>
      </c>
      <c r="L133" s="115">
        <f>163900</f>
        <v>163900</v>
      </c>
      <c r="M133" s="115">
        <f>164551+1200</f>
        <v>165751</v>
      </c>
      <c r="N133" s="115">
        <f>165202+1200</f>
        <v>166402</v>
      </c>
      <c r="O133" s="115">
        <f>165854+1100</f>
        <v>166954</v>
      </c>
      <c r="P133" s="116">
        <v>2.17</v>
      </c>
      <c r="Q133" s="130"/>
      <c r="R133" s="238">
        <v>250</v>
      </c>
      <c r="S133" s="238">
        <v>125</v>
      </c>
      <c r="T133" s="114"/>
      <c r="U133" s="118">
        <v>200</v>
      </c>
      <c r="V133" s="118">
        <v>100</v>
      </c>
      <c r="W133" s="150" t="s">
        <v>692</v>
      </c>
      <c r="X133" s="150" t="s">
        <v>696</v>
      </c>
    </row>
    <row r="134" spans="1:26" s="128" customFormat="1" x14ac:dyDescent="0.25">
      <c r="A134" s="113">
        <v>93900</v>
      </c>
      <c r="B134" s="210" t="s">
        <v>498</v>
      </c>
      <c r="C134" s="22"/>
      <c r="D134" s="23" t="str">
        <f t="shared" si="34"/>
        <v/>
      </c>
      <c r="E134" s="23" t="str">
        <f t="shared" si="35"/>
        <v/>
      </c>
      <c r="F134" s="23" t="str">
        <f t="shared" si="40"/>
        <v/>
      </c>
      <c r="G134" s="23" t="str">
        <f t="shared" si="39"/>
        <v/>
      </c>
      <c r="H134" s="23" t="str">
        <f t="shared" si="37"/>
        <v/>
      </c>
      <c r="I134" s="23" t="str">
        <f t="shared" si="38"/>
        <v/>
      </c>
      <c r="J134" s="114"/>
      <c r="K134" s="115">
        <f>94915</f>
        <v>94915</v>
      </c>
      <c r="L134" s="115">
        <f>93900</f>
        <v>93900</v>
      </c>
      <c r="M134" s="115">
        <f>94238+1200</f>
        <v>95438</v>
      </c>
      <c r="N134" s="115">
        <f>94577+1200</f>
        <v>95777</v>
      </c>
      <c r="O134" s="115">
        <f>94915+1100</f>
        <v>96015</v>
      </c>
      <c r="P134" s="116">
        <v>2.17</v>
      </c>
      <c r="Q134" s="130"/>
      <c r="R134" s="238">
        <v>250</v>
      </c>
      <c r="S134" s="238">
        <v>125</v>
      </c>
      <c r="T134" s="114"/>
      <c r="U134" s="118">
        <v>200</v>
      </c>
      <c r="V134" s="118">
        <v>100</v>
      </c>
      <c r="W134" s="150" t="s">
        <v>497</v>
      </c>
      <c r="X134" s="150" t="s">
        <v>499</v>
      </c>
      <c r="Y134" s="228"/>
    </row>
    <row r="135" spans="1:26" s="128" customFormat="1" x14ac:dyDescent="0.25">
      <c r="A135" s="113">
        <v>92900</v>
      </c>
      <c r="B135" s="210" t="s">
        <v>565</v>
      </c>
      <c r="C135" s="22"/>
      <c r="D135" s="23" t="str">
        <f t="shared" si="34"/>
        <v/>
      </c>
      <c r="E135" s="23" t="str">
        <f t="shared" si="35"/>
        <v/>
      </c>
      <c r="F135" s="23" t="str">
        <f t="shared" si="40"/>
        <v/>
      </c>
      <c r="G135" s="23" t="str">
        <f t="shared" si="39"/>
        <v/>
      </c>
      <c r="H135" s="23" t="str">
        <f t="shared" si="37"/>
        <v/>
      </c>
      <c r="I135" s="23" t="str">
        <f t="shared" si="38"/>
        <v/>
      </c>
      <c r="J135" s="114"/>
      <c r="K135" s="115">
        <f>93915</f>
        <v>93915</v>
      </c>
      <c r="L135" s="115">
        <f>92900</f>
        <v>92900</v>
      </c>
      <c r="M135" s="115">
        <f>93238+1200</f>
        <v>94438</v>
      </c>
      <c r="N135" s="115">
        <f>93577+1200</f>
        <v>94777</v>
      </c>
      <c r="O135" s="115">
        <f>93915+1100</f>
        <v>95015</v>
      </c>
      <c r="P135" s="116">
        <v>2.17</v>
      </c>
      <c r="Q135" s="130"/>
      <c r="R135" s="238">
        <v>250</v>
      </c>
      <c r="S135" s="238">
        <v>125</v>
      </c>
      <c r="T135" s="114"/>
      <c r="U135" s="118">
        <v>200</v>
      </c>
      <c r="V135" s="118">
        <v>100</v>
      </c>
      <c r="W135" s="150" t="s">
        <v>566</v>
      </c>
      <c r="X135" s="150" t="s">
        <v>567</v>
      </c>
      <c r="Y135" s="228"/>
    </row>
    <row r="136" spans="1:26" s="128" customFormat="1" x14ac:dyDescent="0.25">
      <c r="A136" s="113">
        <v>93900</v>
      </c>
      <c r="B136" s="210" t="s">
        <v>621</v>
      </c>
      <c r="C136" s="22"/>
      <c r="D136" s="23" t="str">
        <f t="shared" si="34"/>
        <v/>
      </c>
      <c r="E136" s="23" t="str">
        <f t="shared" si="35"/>
        <v/>
      </c>
      <c r="F136" s="23" t="str">
        <f t="shared" si="40"/>
        <v/>
      </c>
      <c r="G136" s="23" t="str">
        <f t="shared" si="39"/>
        <v/>
      </c>
      <c r="H136" s="23" t="str">
        <f t="shared" si="37"/>
        <v/>
      </c>
      <c r="I136" s="23" t="str">
        <f t="shared" si="38"/>
        <v/>
      </c>
      <c r="J136" s="114"/>
      <c r="K136" s="115">
        <f>95538</f>
        <v>95538</v>
      </c>
      <c r="L136" s="115">
        <v>93900</v>
      </c>
      <c r="M136" s="115">
        <f>94446+1200</f>
        <v>95646</v>
      </c>
      <c r="N136" s="115">
        <f>94992+1200</f>
        <v>96192</v>
      </c>
      <c r="O136" s="115">
        <f>95538+1100</f>
        <v>96638</v>
      </c>
      <c r="P136" s="116">
        <v>2.17</v>
      </c>
      <c r="Q136" s="130"/>
      <c r="R136" s="238">
        <v>250</v>
      </c>
      <c r="S136" s="238">
        <v>125</v>
      </c>
      <c r="T136" s="114"/>
      <c r="U136" s="118">
        <v>200</v>
      </c>
      <c r="V136" s="118">
        <v>100</v>
      </c>
      <c r="W136" s="150" t="s">
        <v>618</v>
      </c>
      <c r="X136" s="150" t="s">
        <v>622</v>
      </c>
      <c r="Y136" s="228"/>
    </row>
    <row r="137" spans="1:26" s="128" customFormat="1" x14ac:dyDescent="0.25">
      <c r="A137" s="113">
        <v>93900</v>
      </c>
      <c r="B137" s="210" t="s">
        <v>466</v>
      </c>
      <c r="C137" s="22"/>
      <c r="D137" s="23" t="str">
        <f t="shared" si="34"/>
        <v/>
      </c>
      <c r="E137" s="23" t="str">
        <f t="shared" si="35"/>
        <v/>
      </c>
      <c r="F137" s="23" t="str">
        <f t="shared" si="40"/>
        <v/>
      </c>
      <c r="G137" s="23" t="str">
        <f t="shared" si="39"/>
        <v/>
      </c>
      <c r="H137" s="23" t="str">
        <f t="shared" si="37"/>
        <v/>
      </c>
      <c r="I137" s="23" t="str">
        <f t="shared" si="38"/>
        <v/>
      </c>
      <c r="J137" s="114"/>
      <c r="K137" s="115">
        <f>95339</f>
        <v>95339</v>
      </c>
      <c r="L137" s="115">
        <f>93900</f>
        <v>93900</v>
      </c>
      <c r="M137" s="115">
        <f>94380+1200</f>
        <v>95580</v>
      </c>
      <c r="N137" s="115">
        <f>94859+1200</f>
        <v>96059</v>
      </c>
      <c r="O137" s="115">
        <f>95339+1100</f>
        <v>96439</v>
      </c>
      <c r="P137" s="116">
        <v>2.17</v>
      </c>
      <c r="Q137" s="130"/>
      <c r="R137" s="238">
        <v>250</v>
      </c>
      <c r="S137" s="238">
        <v>125</v>
      </c>
      <c r="T137" s="114"/>
      <c r="U137" s="118">
        <v>200</v>
      </c>
      <c r="V137" s="118">
        <v>100</v>
      </c>
      <c r="W137" s="150" t="s">
        <v>467</v>
      </c>
      <c r="X137" s="150" t="s">
        <v>469</v>
      </c>
    </row>
    <row r="138" spans="1:26" s="128" customFormat="1" x14ac:dyDescent="0.25">
      <c r="A138" s="113">
        <v>84900</v>
      </c>
      <c r="B138" s="210" t="s">
        <v>653</v>
      </c>
      <c r="C138" s="22">
        <v>50000</v>
      </c>
      <c r="D138" s="23">
        <f>IF(C138&gt;=1,(K138-C138)*(1+P138*$D$4/100)/$D$4+Q138+R138,"")</f>
        <v>7095.0562999999993</v>
      </c>
      <c r="E138" s="23">
        <f>IF(C138&gt;=1,(K138-C138)*(1+P138*$E$4/100)/$E$4+Q138+S138,"")</f>
        <v>3941.8063000000002</v>
      </c>
      <c r="F138" s="23">
        <f>IF(C138&gt;=1,(K138-C138)*(1+$P138*$F$4/100)/$F$4+Q138+S138, "")</f>
        <v>2932.3896333333337</v>
      </c>
      <c r="G138" s="23">
        <f>IF(C138&gt;=1, (K138-C138)*(1+$P138*$G$4/100)/$G$4+Q138+S138,"")</f>
        <v>2427.6812999999997</v>
      </c>
      <c r="H138" s="23">
        <f>IF(C138&gt;=1, (K138-C138)*(1+$P138*$H$4/100)/$H$4+Q138+S138, "")</f>
        <v>2124.8562999999995</v>
      </c>
      <c r="I138" s="23">
        <f>IF(C138&gt;=1, (K138-C138)*(1+$P138*$I$4/100)/$I$4+Q138+S138, "")</f>
        <v>1922.9729666666669</v>
      </c>
      <c r="J138" s="114"/>
      <c r="K138" s="115">
        <f>86339</f>
        <v>86339</v>
      </c>
      <c r="L138" s="115">
        <f>84900</f>
        <v>84900</v>
      </c>
      <c r="M138" s="115">
        <f>85379+1200</f>
        <v>86579</v>
      </c>
      <c r="N138" s="115">
        <f>85859+1200</f>
        <v>87059</v>
      </c>
      <c r="O138" s="115">
        <f>86339+1100</f>
        <v>87439</v>
      </c>
      <c r="P138" s="116">
        <v>2.17</v>
      </c>
      <c r="Q138" s="130"/>
      <c r="R138" s="238">
        <v>250</v>
      </c>
      <c r="S138" s="238">
        <v>125</v>
      </c>
      <c r="T138" s="114"/>
      <c r="U138" s="118">
        <v>200</v>
      </c>
      <c r="V138" s="118">
        <v>100</v>
      </c>
      <c r="W138" s="150" t="s">
        <v>654</v>
      </c>
      <c r="X138" s="150" t="s">
        <v>655</v>
      </c>
    </row>
    <row r="139" spans="1:26" s="128" customFormat="1" x14ac:dyDescent="0.25">
      <c r="A139" s="113">
        <v>92900</v>
      </c>
      <c r="B139" s="210" t="s">
        <v>568</v>
      </c>
      <c r="C139" s="22"/>
      <c r="D139" s="23" t="str">
        <f t="shared" ref="D139" si="41">IF(C139&gt;=1,(K139-C139)*(1+P139*$D$4/100)/$D$4+Q139+R139,"")</f>
        <v/>
      </c>
      <c r="E139" s="23" t="str">
        <f t="shared" ref="E139" si="42">IF(C139&gt;=1,(K139-C139)*(1+P139*$E$4/100)/$E$4+Q139+S139,"")</f>
        <v/>
      </c>
      <c r="F139" s="23" t="str">
        <f t="shared" ref="F139" si="43">IF(C139&gt;=1,(K139-C139)*(1+$P139*$F$4/100)/$F$4+Q139+S139, "")</f>
        <v/>
      </c>
      <c r="G139" s="23" t="str">
        <f t="shared" ref="G139" si="44">IF(C139&gt;=1, (K139-C139)*(1+$P139*$G$4/100)/$G$4+Q139+S139,"")</f>
        <v/>
      </c>
      <c r="H139" s="23" t="str">
        <f t="shared" ref="H139" si="45">IF(C139&gt;=1, (K139-C139)*(1+$P139*$H$4/100)/$H$4+Q139+S139, "")</f>
        <v/>
      </c>
      <c r="I139" s="23" t="str">
        <f t="shared" ref="I139" si="46">IF(C139&gt;=1, (K139-C139)*(1+$P139*$I$4/100)/$I$4+Q139+S139, "")</f>
        <v/>
      </c>
      <c r="J139" s="114"/>
      <c r="K139" s="115">
        <f>94339</f>
        <v>94339</v>
      </c>
      <c r="L139" s="115">
        <f>92900</f>
        <v>92900</v>
      </c>
      <c r="M139" s="115">
        <f>93380+1200</f>
        <v>94580</v>
      </c>
      <c r="N139" s="115">
        <f>93859+1200</f>
        <v>95059</v>
      </c>
      <c r="O139" s="115">
        <f>94339+1100</f>
        <v>95439</v>
      </c>
      <c r="P139" s="116">
        <v>2.17</v>
      </c>
      <c r="Q139" s="130"/>
      <c r="R139" s="238">
        <v>250</v>
      </c>
      <c r="S139" s="238">
        <v>125</v>
      </c>
      <c r="T139" s="114"/>
      <c r="U139" s="118">
        <v>200</v>
      </c>
      <c r="V139" s="118">
        <v>100</v>
      </c>
      <c r="W139" s="150" t="s">
        <v>566</v>
      </c>
      <c r="X139" s="150" t="s">
        <v>569</v>
      </c>
    </row>
    <row r="140" spans="1:26" s="128" customFormat="1" x14ac:dyDescent="0.25">
      <c r="A140" s="113">
        <v>85400</v>
      </c>
      <c r="B140" s="210" t="s">
        <v>342</v>
      </c>
      <c r="C140" s="22"/>
      <c r="D140" s="23" t="str">
        <f t="shared" si="34"/>
        <v/>
      </c>
      <c r="E140" s="23" t="str">
        <f t="shared" si="35"/>
        <v/>
      </c>
      <c r="F140" s="23" t="str">
        <f t="shared" si="40"/>
        <v/>
      </c>
      <c r="G140" s="23" t="str">
        <f t="shared" si="39"/>
        <v/>
      </c>
      <c r="H140" s="23" t="str">
        <f t="shared" si="37"/>
        <v/>
      </c>
      <c r="I140" s="23" t="str">
        <f t="shared" si="38"/>
        <v/>
      </c>
      <c r="J140" s="114"/>
      <c r="K140" s="115">
        <f>86662</f>
        <v>86662</v>
      </c>
      <c r="L140" s="115">
        <f>85400</f>
        <v>85400</v>
      </c>
      <c r="M140" s="115">
        <f>85820+1200</f>
        <v>87020</v>
      </c>
      <c r="N140" s="115">
        <f>86241+1200</f>
        <v>87441</v>
      </c>
      <c r="O140" s="115">
        <f>86662+1100</f>
        <v>87762</v>
      </c>
      <c r="P140" s="116">
        <v>2.17</v>
      </c>
      <c r="Q140" s="130"/>
      <c r="R140" s="238">
        <v>250</v>
      </c>
      <c r="S140" s="238">
        <v>125</v>
      </c>
      <c r="T140" s="114"/>
      <c r="U140" s="118">
        <v>200</v>
      </c>
      <c r="V140" s="118">
        <v>100</v>
      </c>
      <c r="W140" s="150" t="s">
        <v>443</v>
      </c>
      <c r="X140" s="150" t="s">
        <v>444</v>
      </c>
    </row>
    <row r="141" spans="1:26" s="128" customFormat="1" x14ac:dyDescent="0.25">
      <c r="A141" s="113">
        <v>84400</v>
      </c>
      <c r="B141" s="210" t="s">
        <v>459</v>
      </c>
      <c r="C141" s="22"/>
      <c r="D141" s="23" t="str">
        <f t="shared" si="34"/>
        <v/>
      </c>
      <c r="E141" s="23" t="str">
        <f>IF(C141&gt;=1,(K141-C141)*(1+P141*$E$4/100)/$E$4+Q141+S141,"")</f>
        <v/>
      </c>
      <c r="F141" s="23" t="str">
        <f t="shared" si="40"/>
        <v/>
      </c>
      <c r="G141" s="23" t="str">
        <f t="shared" si="39"/>
        <v/>
      </c>
      <c r="H141" s="23" t="str">
        <f t="shared" si="37"/>
        <v/>
      </c>
      <c r="I141" s="23" t="str">
        <f t="shared" si="38"/>
        <v/>
      </c>
      <c r="J141" s="114"/>
      <c r="K141" s="115">
        <f>85600</f>
        <v>85600</v>
      </c>
      <c r="L141" s="115">
        <f>84400</f>
        <v>84400</v>
      </c>
      <c r="M141" s="115">
        <f>84800+1200</f>
        <v>86000</v>
      </c>
      <c r="N141" s="115">
        <f>85200+1200</f>
        <v>86400</v>
      </c>
      <c r="O141" s="115">
        <f>85600+1100</f>
        <v>86700</v>
      </c>
      <c r="P141" s="116">
        <v>2.17</v>
      </c>
      <c r="Q141" s="130"/>
      <c r="R141" s="238">
        <v>250</v>
      </c>
      <c r="S141" s="238">
        <v>125</v>
      </c>
      <c r="T141" s="114"/>
      <c r="U141" s="118">
        <v>200</v>
      </c>
      <c r="V141" s="118">
        <v>100</v>
      </c>
      <c r="W141" s="150" t="s">
        <v>456</v>
      </c>
      <c r="X141" s="150" t="s">
        <v>460</v>
      </c>
    </row>
    <row r="142" spans="1:26" s="128" customFormat="1" x14ac:dyDescent="0.25">
      <c r="A142" s="113">
        <v>79400</v>
      </c>
      <c r="B142" s="210" t="s">
        <v>457</v>
      </c>
      <c r="C142" s="22"/>
      <c r="D142" s="23" t="str">
        <f t="shared" si="34"/>
        <v/>
      </c>
      <c r="E142" s="23" t="str">
        <f>IF(C142&gt;=1,(K142-C142)*(1+P142*$E$4/100)/$E$4+Q142+S142,"")</f>
        <v/>
      </c>
      <c r="F142" s="23" t="str">
        <f>IF(C142&gt;=1,(K142-C142)*(1+$P142*$F$4/100)/$F$4+Q142+S142, "")</f>
        <v/>
      </c>
      <c r="G142" s="23" t="str">
        <f t="shared" si="39"/>
        <v/>
      </c>
      <c r="H142" s="23" t="str">
        <f t="shared" si="37"/>
        <v/>
      </c>
      <c r="I142" s="23" t="str">
        <f t="shared" si="38"/>
        <v/>
      </c>
      <c r="J142" s="114"/>
      <c r="K142" s="115">
        <f>80641</f>
        <v>80641</v>
      </c>
      <c r="L142" s="115">
        <f>79400</f>
        <v>79400</v>
      </c>
      <c r="M142" s="115">
        <f>79813+1200</f>
        <v>81013</v>
      </c>
      <c r="N142" s="115">
        <f>80227+1200</f>
        <v>81427</v>
      </c>
      <c r="O142" s="115">
        <f>80641+1100</f>
        <v>81741</v>
      </c>
      <c r="P142" s="116">
        <v>2.17</v>
      </c>
      <c r="Q142" s="130"/>
      <c r="R142" s="238">
        <v>250</v>
      </c>
      <c r="S142" s="238">
        <v>125</v>
      </c>
      <c r="T142" s="114"/>
      <c r="U142" s="118">
        <v>200</v>
      </c>
      <c r="V142" s="118">
        <v>100</v>
      </c>
      <c r="W142" s="150" t="s">
        <v>456</v>
      </c>
      <c r="X142" s="150" t="s">
        <v>458</v>
      </c>
    </row>
    <row r="143" spans="1:26" s="128" customFormat="1" x14ac:dyDescent="0.25">
      <c r="A143" s="113">
        <v>285000</v>
      </c>
      <c r="B143" s="129" t="s">
        <v>679</v>
      </c>
      <c r="C143" s="22"/>
      <c r="D143" s="23" t="str">
        <f t="shared" si="34"/>
        <v/>
      </c>
      <c r="E143" s="23" t="str">
        <f t="shared" ref="E143:E152" si="47">IF(C143&gt;=1,(K143-C143)*(1+P143*$E$4/100)/$E$4+Q143+S143,"")</f>
        <v/>
      </c>
      <c r="F143" s="23" t="str">
        <f t="shared" si="40"/>
        <v/>
      </c>
      <c r="G143" s="23" t="str">
        <f t="shared" si="39"/>
        <v/>
      </c>
      <c r="H143" s="231"/>
      <c r="I143" s="231"/>
      <c r="J143" s="114"/>
      <c r="K143" s="115">
        <f>291243</f>
        <v>291243</v>
      </c>
      <c r="L143" s="115">
        <f>285000</f>
        <v>285000</v>
      </c>
      <c r="M143" s="115">
        <f>287081+1200</f>
        <v>288281</v>
      </c>
      <c r="N143" s="115">
        <f>289162+1200</f>
        <v>290362</v>
      </c>
      <c r="O143" s="115">
        <f>291243+1100</f>
        <v>292343</v>
      </c>
      <c r="P143" s="116">
        <v>2.17</v>
      </c>
      <c r="Q143" s="130"/>
      <c r="R143" s="238">
        <v>250</v>
      </c>
      <c r="S143" s="238">
        <v>125</v>
      </c>
      <c r="T143" s="114"/>
      <c r="U143" s="118">
        <v>350</v>
      </c>
      <c r="V143" s="118">
        <v>100</v>
      </c>
      <c r="W143" s="150" t="s">
        <v>443</v>
      </c>
      <c r="X143" s="150" t="s">
        <v>447</v>
      </c>
    </row>
    <row r="144" spans="1:26" s="128" customFormat="1" x14ac:dyDescent="0.25">
      <c r="A144" s="113">
        <v>289000</v>
      </c>
      <c r="B144" s="129" t="s">
        <v>680</v>
      </c>
      <c r="C144" s="22">
        <v>150000</v>
      </c>
      <c r="D144" s="23">
        <f t="shared" si="34"/>
        <v>27608.939766666663</v>
      </c>
      <c r="E144" s="23">
        <f t="shared" si="47"/>
        <v>15380.356433333332</v>
      </c>
      <c r="F144" s="23">
        <f t="shared" si="40"/>
        <v>11345.828655555557</v>
      </c>
      <c r="G144" s="23">
        <f t="shared" si="39"/>
        <v>9328.5647666666664</v>
      </c>
      <c r="H144" s="231"/>
      <c r="I144" s="231"/>
      <c r="J144" s="114"/>
      <c r="K144" s="115">
        <f>295243</f>
        <v>295243</v>
      </c>
      <c r="L144" s="115">
        <f>289000</f>
        <v>289000</v>
      </c>
      <c r="M144" s="115">
        <f>291081+1200</f>
        <v>292281</v>
      </c>
      <c r="N144" s="115">
        <f>293162+1200</f>
        <v>294362</v>
      </c>
      <c r="O144" s="115">
        <f>295243+1100</f>
        <v>296343</v>
      </c>
      <c r="P144" s="116">
        <v>2.17</v>
      </c>
      <c r="Q144" s="130"/>
      <c r="R144" s="238">
        <v>250</v>
      </c>
      <c r="S144" s="238">
        <v>125</v>
      </c>
      <c r="T144" s="114"/>
      <c r="U144" s="118">
        <v>350</v>
      </c>
      <c r="V144" s="118">
        <v>100</v>
      </c>
      <c r="W144" s="150" t="s">
        <v>674</v>
      </c>
      <c r="X144" s="150" t="s">
        <v>681</v>
      </c>
    </row>
    <row r="145" spans="1:24" s="128" customFormat="1" x14ac:dyDescent="0.25">
      <c r="A145" s="113">
        <v>178000</v>
      </c>
      <c r="B145" s="129" t="s">
        <v>602</v>
      </c>
      <c r="C145" s="22"/>
      <c r="D145" s="23" t="str">
        <f t="shared" si="34"/>
        <v/>
      </c>
      <c r="E145" s="23" t="str">
        <f t="shared" si="47"/>
        <v/>
      </c>
      <c r="F145" s="23" t="str">
        <f t="shared" si="40"/>
        <v/>
      </c>
      <c r="G145" s="23" t="str">
        <f t="shared" si="39"/>
        <v/>
      </c>
      <c r="H145" s="23" t="str">
        <f t="shared" ref="H145:H148" si="48">IF(C145&gt;=1, (K145-C145)*(1+$P145*$H$4/100)/$H$4+Q145+S145, "")</f>
        <v/>
      </c>
      <c r="I145" s="23" t="str">
        <f t="shared" ref="I145:I148" si="49">IF(C145&gt;=1, (K145-C145)*(1+$P145*$I$4/100)/$I$4+Q145+S145, "")</f>
        <v/>
      </c>
      <c r="J145" s="114"/>
      <c r="K145" s="115">
        <f>183157</f>
        <v>183157</v>
      </c>
      <c r="L145" s="115">
        <f>178000</f>
        <v>178000</v>
      </c>
      <c r="M145" s="115">
        <f>179719+1200</f>
        <v>180919</v>
      </c>
      <c r="N145" s="115">
        <f>181438+1200</f>
        <v>182638</v>
      </c>
      <c r="O145" s="115">
        <f>183157+1100</f>
        <v>184257</v>
      </c>
      <c r="P145" s="116">
        <v>2.17</v>
      </c>
      <c r="Q145" s="130"/>
      <c r="R145" s="238">
        <v>250</v>
      </c>
      <c r="S145" s="238">
        <v>125</v>
      </c>
      <c r="T145" s="114"/>
      <c r="U145" s="118">
        <v>200</v>
      </c>
      <c r="V145" s="118">
        <v>50</v>
      </c>
      <c r="W145" s="150" t="s">
        <v>443</v>
      </c>
      <c r="X145" s="150" t="s">
        <v>601</v>
      </c>
    </row>
    <row r="146" spans="1:24" s="128" customFormat="1" x14ac:dyDescent="0.25">
      <c r="A146" s="113">
        <v>179000</v>
      </c>
      <c r="B146" s="129" t="s">
        <v>603</v>
      </c>
      <c r="C146" s="22"/>
      <c r="D146" s="23" t="str">
        <f t="shared" si="34"/>
        <v/>
      </c>
      <c r="E146" s="23" t="str">
        <f t="shared" si="47"/>
        <v/>
      </c>
      <c r="F146" s="23" t="str">
        <f t="shared" si="40"/>
        <v/>
      </c>
      <c r="G146" s="23" t="str">
        <f t="shared" si="39"/>
        <v/>
      </c>
      <c r="H146" s="23" t="str">
        <f t="shared" si="48"/>
        <v/>
      </c>
      <c r="I146" s="23" t="str">
        <f t="shared" si="49"/>
        <v/>
      </c>
      <c r="J146" s="114"/>
      <c r="K146" s="115">
        <f>184157</f>
        <v>184157</v>
      </c>
      <c r="L146" s="115">
        <f>179000</f>
        <v>179000</v>
      </c>
      <c r="M146" s="115">
        <f>180719+1200</f>
        <v>181919</v>
      </c>
      <c r="N146" s="115">
        <f>182438+1200</f>
        <v>183638</v>
      </c>
      <c r="O146" s="115">
        <f>184157+1100</f>
        <v>185257</v>
      </c>
      <c r="P146" s="116">
        <v>2.17</v>
      </c>
      <c r="Q146" s="130"/>
      <c r="R146" s="238">
        <v>250</v>
      </c>
      <c r="S146" s="238">
        <v>125</v>
      </c>
      <c r="T146" s="114"/>
      <c r="U146" s="118">
        <v>200</v>
      </c>
      <c r="V146" s="118">
        <v>50</v>
      </c>
      <c r="W146" s="150" t="s">
        <v>594</v>
      </c>
      <c r="X146" s="150" t="s">
        <v>595</v>
      </c>
    </row>
    <row r="147" spans="1:24" s="128" customFormat="1" x14ac:dyDescent="0.25">
      <c r="A147" s="113">
        <v>180000</v>
      </c>
      <c r="B147" s="129" t="s">
        <v>668</v>
      </c>
      <c r="C147" s="22">
        <v>90000</v>
      </c>
      <c r="D147" s="23">
        <f t="shared" si="34"/>
        <v>18174.406899999998</v>
      </c>
      <c r="E147" s="23">
        <f t="shared" si="47"/>
        <v>10119.6569</v>
      </c>
      <c r="F147" s="23">
        <f t="shared" si="40"/>
        <v>7476.4069</v>
      </c>
      <c r="G147" s="23">
        <f t="shared" si="39"/>
        <v>6154.781899999999</v>
      </c>
      <c r="H147" s="23">
        <f t="shared" si="48"/>
        <v>5361.8068999999996</v>
      </c>
      <c r="I147" s="23">
        <f t="shared" si="49"/>
        <v>4833.1569</v>
      </c>
      <c r="J147" s="114"/>
      <c r="K147" s="115">
        <f>185157</f>
        <v>185157</v>
      </c>
      <c r="L147" s="115">
        <f>180000</f>
        <v>180000</v>
      </c>
      <c r="M147" s="115">
        <f>181719+1200</f>
        <v>182919</v>
      </c>
      <c r="N147" s="115">
        <f>183438+1200</f>
        <v>184638</v>
      </c>
      <c r="O147" s="115">
        <f>185157+1100</f>
        <v>186257</v>
      </c>
      <c r="P147" s="116">
        <v>2.17</v>
      </c>
      <c r="Q147" s="130"/>
      <c r="R147" s="238">
        <v>250</v>
      </c>
      <c r="S147" s="238">
        <v>125</v>
      </c>
      <c r="T147" s="114"/>
      <c r="U147" s="118">
        <v>200</v>
      </c>
      <c r="V147" s="118">
        <v>50</v>
      </c>
      <c r="W147" s="150" t="s">
        <v>667</v>
      </c>
      <c r="X147" s="150" t="s">
        <v>669</v>
      </c>
    </row>
    <row r="148" spans="1:24" s="128" customFormat="1" x14ac:dyDescent="0.25">
      <c r="A148" s="113">
        <v>82900</v>
      </c>
      <c r="B148" s="129" t="s">
        <v>570</v>
      </c>
      <c r="C148" s="22">
        <v>50000</v>
      </c>
      <c r="D148" s="23">
        <f>IF(C148&gt;=1,(K148-C148)*(1+P148*$D$4/100)/$D$4+Q148+R148,"")</f>
        <v>6712.4835999999996</v>
      </c>
      <c r="E148" s="23">
        <f t="shared" si="47"/>
        <v>3728.4836</v>
      </c>
      <c r="F148" s="23">
        <f t="shared" si="40"/>
        <v>2775.4836</v>
      </c>
      <c r="G148" s="23">
        <f t="shared" si="39"/>
        <v>2298.9836</v>
      </c>
      <c r="H148" s="23">
        <f t="shared" si="48"/>
        <v>2013.0835999999997</v>
      </c>
      <c r="I148" s="23">
        <f t="shared" si="49"/>
        <v>1822.4836000000003</v>
      </c>
      <c r="J148" s="114"/>
      <c r="K148" s="115">
        <f>84308</f>
        <v>84308</v>
      </c>
      <c r="L148" s="115">
        <f>82900</f>
        <v>82900</v>
      </c>
      <c r="M148" s="115">
        <f>83369+1200</f>
        <v>84569</v>
      </c>
      <c r="N148" s="115">
        <f>83839+1200</f>
        <v>85039</v>
      </c>
      <c r="O148" s="115">
        <f>84308+1100</f>
        <v>85408</v>
      </c>
      <c r="P148" s="116">
        <v>2.17</v>
      </c>
      <c r="Q148" s="130"/>
      <c r="R148" s="238">
        <v>250</v>
      </c>
      <c r="S148" s="238">
        <v>125</v>
      </c>
      <c r="T148" s="114"/>
      <c r="U148" s="118">
        <v>200</v>
      </c>
      <c r="V148" s="118">
        <v>100</v>
      </c>
      <c r="W148" s="150" t="s">
        <v>672</v>
      </c>
      <c r="X148" s="150" t="s">
        <v>664</v>
      </c>
    </row>
    <row r="149" spans="1:24" ht="12.75" customHeight="1" x14ac:dyDescent="0.25">
      <c r="A149" s="113">
        <v>48900</v>
      </c>
      <c r="B149" s="27" t="s">
        <v>42</v>
      </c>
      <c r="C149" s="22"/>
      <c r="D149" s="23" t="str">
        <f t="shared" si="34"/>
        <v/>
      </c>
      <c r="E149" s="23" t="str">
        <f t="shared" si="47"/>
        <v/>
      </c>
      <c r="F149" s="23" t="str">
        <f t="shared" si="40"/>
        <v/>
      </c>
      <c r="G149" s="23" t="str">
        <f t="shared" si="39"/>
        <v/>
      </c>
      <c r="H149" s="23" t="str">
        <f t="shared" si="37"/>
        <v/>
      </c>
      <c r="I149" s="23" t="str">
        <f t="shared" si="38"/>
        <v/>
      </c>
      <c r="J149" s="114"/>
      <c r="K149" s="115">
        <v>53111</v>
      </c>
      <c r="L149" s="115">
        <v>51635</v>
      </c>
      <c r="M149" s="115">
        <f>53027+60+240</f>
        <v>53327</v>
      </c>
      <c r="N149" s="115">
        <f>53519+60+240</f>
        <v>53819</v>
      </c>
      <c r="O149" s="115">
        <f>53911+60+240</f>
        <v>54211</v>
      </c>
      <c r="P149" s="116">
        <v>2.17</v>
      </c>
      <c r="Q149" s="117"/>
      <c r="R149" s="238">
        <v>250</v>
      </c>
      <c r="S149" s="238">
        <v>125</v>
      </c>
      <c r="T149" s="114"/>
      <c r="U149" s="118">
        <v>200</v>
      </c>
      <c r="V149" s="118">
        <v>50</v>
      </c>
      <c r="W149" s="119"/>
      <c r="X149" s="119"/>
    </row>
    <row r="150" spans="1:24" ht="12.75" customHeight="1" x14ac:dyDescent="0.25">
      <c r="A150" s="113">
        <v>59900</v>
      </c>
      <c r="B150" s="27" t="s">
        <v>221</v>
      </c>
      <c r="C150" s="22"/>
      <c r="D150" s="23" t="str">
        <f t="shared" si="34"/>
        <v/>
      </c>
      <c r="E150" s="23" t="str">
        <f t="shared" si="47"/>
        <v/>
      </c>
      <c r="F150" s="23" t="str">
        <f t="shared" si="40"/>
        <v/>
      </c>
      <c r="G150" s="23" t="str">
        <f t="shared" si="39"/>
        <v/>
      </c>
      <c r="H150" s="23" t="str">
        <f t="shared" si="37"/>
        <v/>
      </c>
      <c r="I150" s="23" t="str">
        <f t="shared" si="38"/>
        <v/>
      </c>
      <c r="J150" s="114"/>
      <c r="K150" s="115">
        <v>62057</v>
      </c>
      <c r="L150" s="115">
        <v>60875</v>
      </c>
      <c r="M150" s="115">
        <f>62229+240</f>
        <v>62469</v>
      </c>
      <c r="N150" s="115">
        <f>62623+240</f>
        <v>62863</v>
      </c>
      <c r="O150" s="115">
        <f>62917+240</f>
        <v>63157</v>
      </c>
      <c r="P150" s="116">
        <v>2.17</v>
      </c>
      <c r="Q150" s="117"/>
      <c r="R150" s="238">
        <v>250</v>
      </c>
      <c r="S150" s="238">
        <v>125</v>
      </c>
      <c r="T150" s="114"/>
      <c r="U150" s="118">
        <v>200</v>
      </c>
      <c r="V150" s="118">
        <v>50</v>
      </c>
      <c r="W150" s="119">
        <v>43817</v>
      </c>
      <c r="X150" s="119" t="s">
        <v>227</v>
      </c>
    </row>
    <row r="151" spans="1:24" ht="12.75" customHeight="1" x14ac:dyDescent="0.25">
      <c r="A151" s="113">
        <v>62900</v>
      </c>
      <c r="B151" s="27" t="s">
        <v>222</v>
      </c>
      <c r="C151" s="22"/>
      <c r="D151" s="23" t="str">
        <f t="shared" si="34"/>
        <v/>
      </c>
      <c r="E151" s="23" t="str">
        <f t="shared" si="47"/>
        <v/>
      </c>
      <c r="F151" s="23" t="str">
        <f t="shared" si="40"/>
        <v/>
      </c>
      <c r="G151" s="23" t="str">
        <f t="shared" si="39"/>
        <v/>
      </c>
      <c r="H151" s="23" t="str">
        <f t="shared" si="37"/>
        <v/>
      </c>
      <c r="I151" s="23" t="str">
        <f t="shared" si="38"/>
        <v/>
      </c>
      <c r="J151" s="114"/>
      <c r="K151" s="115">
        <v>64924</v>
      </c>
      <c r="L151" s="115">
        <v>63687</v>
      </c>
      <c r="M151" s="115">
        <f>65059+240</f>
        <v>65299</v>
      </c>
      <c r="N151" s="115">
        <f>65471+240</f>
        <v>65711</v>
      </c>
      <c r="O151" s="115">
        <f>65784+240</f>
        <v>66024</v>
      </c>
      <c r="P151" s="116">
        <v>2.17</v>
      </c>
      <c r="Q151" s="117"/>
      <c r="R151" s="238">
        <v>250</v>
      </c>
      <c r="S151" s="238">
        <v>125</v>
      </c>
      <c r="T151" s="114"/>
      <c r="U151" s="118">
        <v>200</v>
      </c>
      <c r="V151" s="118">
        <v>50</v>
      </c>
      <c r="W151" s="119">
        <v>43817</v>
      </c>
      <c r="X151" s="119" t="s">
        <v>227</v>
      </c>
    </row>
    <row r="152" spans="1:24" s="128" customFormat="1" x14ac:dyDescent="0.25">
      <c r="A152" s="113">
        <v>98900</v>
      </c>
      <c r="B152" s="27" t="s">
        <v>108</v>
      </c>
      <c r="C152" s="22"/>
      <c r="D152" s="23" t="str">
        <f t="shared" si="34"/>
        <v/>
      </c>
      <c r="E152" s="23" t="str">
        <f t="shared" si="47"/>
        <v/>
      </c>
      <c r="F152" s="23" t="str">
        <f t="shared" si="40"/>
        <v/>
      </c>
      <c r="G152" s="23" t="str">
        <f t="shared" si="39"/>
        <v/>
      </c>
      <c r="H152" s="23" t="str">
        <f t="shared" si="37"/>
        <v/>
      </c>
      <c r="I152" s="23" t="str">
        <f t="shared" si="38"/>
        <v/>
      </c>
      <c r="J152" s="114"/>
      <c r="K152" s="115">
        <v>100500</v>
      </c>
      <c r="L152" s="115">
        <v>98900</v>
      </c>
      <c r="M152" s="115">
        <f>100393+240</f>
        <v>100633</v>
      </c>
      <c r="N152" s="115">
        <f>100826+240</f>
        <v>101066</v>
      </c>
      <c r="O152" s="115">
        <f>101360+240</f>
        <v>101600</v>
      </c>
      <c r="P152" s="116">
        <v>2.17</v>
      </c>
      <c r="Q152" s="117"/>
      <c r="R152" s="238">
        <v>250</v>
      </c>
      <c r="S152" s="238">
        <v>125</v>
      </c>
      <c r="T152" s="114"/>
      <c r="U152" s="118">
        <v>200</v>
      </c>
      <c r="V152" s="118">
        <v>50</v>
      </c>
      <c r="W152" s="119"/>
      <c r="X152" s="119"/>
    </row>
    <row r="153" spans="1:24" s="128" customFormat="1" x14ac:dyDescent="0.25">
      <c r="A153" s="113">
        <v>97900</v>
      </c>
      <c r="B153" s="27" t="s">
        <v>107</v>
      </c>
      <c r="C153" s="22"/>
      <c r="D153" s="23" t="str">
        <f t="shared" si="34"/>
        <v/>
      </c>
      <c r="E153" s="23" t="str">
        <f>IF(C153&gt;=1,(K153-C153)*(1+P153*$E$4/100)/$E$4+Q153+S153,"")</f>
        <v/>
      </c>
      <c r="F153" s="23" t="str">
        <f t="shared" si="40"/>
        <v/>
      </c>
      <c r="G153" s="23" t="str">
        <f t="shared" si="39"/>
        <v/>
      </c>
      <c r="H153" s="23" t="str">
        <f t="shared" si="37"/>
        <v/>
      </c>
      <c r="I153" s="23" t="str">
        <f t="shared" si="38"/>
        <v/>
      </c>
      <c r="J153" s="114"/>
      <c r="K153" s="115">
        <v>99500</v>
      </c>
      <c r="L153" s="115">
        <v>96800</v>
      </c>
      <c r="M153" s="115">
        <f>97700+1200</f>
        <v>98900</v>
      </c>
      <c r="N153" s="115">
        <f>98600+1200</f>
        <v>99800</v>
      </c>
      <c r="O153" s="115">
        <f>99500+1100</f>
        <v>100600</v>
      </c>
      <c r="P153" s="116">
        <v>2.17</v>
      </c>
      <c r="Q153" s="117"/>
      <c r="R153" s="238">
        <v>250</v>
      </c>
      <c r="S153" s="238">
        <v>125</v>
      </c>
      <c r="T153" s="114"/>
      <c r="U153" s="118">
        <v>200</v>
      </c>
      <c r="V153" s="118">
        <v>50</v>
      </c>
      <c r="W153" s="119"/>
      <c r="X153" s="119"/>
    </row>
    <row r="154" spans="1:24" s="128" customFormat="1" x14ac:dyDescent="0.25">
      <c r="A154" s="113">
        <v>99800</v>
      </c>
      <c r="B154" s="27" t="s">
        <v>168</v>
      </c>
      <c r="C154" s="22"/>
      <c r="D154" s="23" t="str">
        <f t="shared" si="34"/>
        <v/>
      </c>
      <c r="E154" s="23" t="str">
        <f t="shared" ref="E154:E159" si="50">IF(C154&gt;=1,(K154-C154)*(1+P154*$E$4/100)/$E$4+Q154+S154,"")</f>
        <v/>
      </c>
      <c r="F154" s="23" t="str">
        <f t="shared" si="40"/>
        <v/>
      </c>
      <c r="G154" s="23" t="str">
        <f t="shared" si="39"/>
        <v/>
      </c>
      <c r="H154" s="23" t="str">
        <f t="shared" si="37"/>
        <v/>
      </c>
      <c r="I154" s="23" t="str">
        <f t="shared" si="38"/>
        <v/>
      </c>
      <c r="J154" s="114"/>
      <c r="K154" s="115">
        <v>101400</v>
      </c>
      <c r="L154" s="115">
        <v>99800</v>
      </c>
      <c r="M154" s="115">
        <f>101293+240</f>
        <v>101533</v>
      </c>
      <c r="N154" s="115">
        <f>101826+240</f>
        <v>102066</v>
      </c>
      <c r="O154" s="115">
        <f>102260+240</f>
        <v>102500</v>
      </c>
      <c r="P154" s="116">
        <v>2.17</v>
      </c>
      <c r="Q154" s="117"/>
      <c r="R154" s="238">
        <v>250</v>
      </c>
      <c r="S154" s="238">
        <v>125</v>
      </c>
      <c r="T154" s="114"/>
      <c r="U154" s="118">
        <v>200</v>
      </c>
      <c r="V154" s="118">
        <v>50</v>
      </c>
      <c r="W154" s="119">
        <v>43362</v>
      </c>
      <c r="X154" s="119"/>
    </row>
    <row r="155" spans="1:24" s="128" customFormat="1" x14ac:dyDescent="0.25">
      <c r="A155" s="113">
        <v>102800</v>
      </c>
      <c r="B155" s="27" t="s">
        <v>177</v>
      </c>
      <c r="C155" s="22"/>
      <c r="D155" s="23" t="str">
        <f t="shared" si="34"/>
        <v/>
      </c>
      <c r="E155" s="23" t="str">
        <f t="shared" si="50"/>
        <v/>
      </c>
      <c r="F155" s="23" t="str">
        <f t="shared" si="40"/>
        <v/>
      </c>
      <c r="G155" s="23" t="str">
        <f t="shared" si="39"/>
        <v/>
      </c>
      <c r="H155" s="23" t="str">
        <f t="shared" si="37"/>
        <v/>
      </c>
      <c r="I155" s="23" t="str">
        <f t="shared" si="38"/>
        <v/>
      </c>
      <c r="J155" s="114"/>
      <c r="K155" s="115">
        <v>106980</v>
      </c>
      <c r="L155" s="115">
        <v>102800</v>
      </c>
      <c r="M155" s="115">
        <f>105153+240</f>
        <v>105393</v>
      </c>
      <c r="N155" s="115">
        <f>106546+240</f>
        <v>106786</v>
      </c>
      <c r="O155" s="115">
        <f>107840+240</f>
        <v>108080</v>
      </c>
      <c r="P155" s="116">
        <v>2.17</v>
      </c>
      <c r="Q155" s="117"/>
      <c r="R155" s="238">
        <v>250</v>
      </c>
      <c r="S155" s="238">
        <v>125</v>
      </c>
      <c r="T155" s="114"/>
      <c r="U155" s="118">
        <v>200</v>
      </c>
      <c r="V155" s="118">
        <v>100</v>
      </c>
      <c r="W155" s="150" t="s">
        <v>178</v>
      </c>
      <c r="X155" s="150"/>
    </row>
    <row r="156" spans="1:24" s="128" customFormat="1" x14ac:dyDescent="0.25">
      <c r="A156" s="113">
        <v>102900</v>
      </c>
      <c r="B156" s="27" t="s">
        <v>265</v>
      </c>
      <c r="C156" s="22"/>
      <c r="D156" s="23" t="str">
        <f t="shared" si="34"/>
        <v/>
      </c>
      <c r="E156" s="23" t="str">
        <f t="shared" si="50"/>
        <v/>
      </c>
      <c r="F156" s="23" t="str">
        <f>IF(C156&gt;=1,(K156-C156)*(1+$P156*$F$4/100)/$F$4+Q156+S156, "")</f>
        <v/>
      </c>
      <c r="G156" s="23" t="str">
        <f t="shared" si="39"/>
        <v/>
      </c>
      <c r="H156" s="23" t="str">
        <f t="shared" si="37"/>
        <v/>
      </c>
      <c r="I156" s="23" t="str">
        <f t="shared" si="38"/>
        <v/>
      </c>
      <c r="J156" s="114"/>
      <c r="K156" s="115">
        <v>107080</v>
      </c>
      <c r="L156" s="115">
        <v>102900</v>
      </c>
      <c r="M156" s="115">
        <f>104293+1200</f>
        <v>105493</v>
      </c>
      <c r="N156" s="115">
        <f>105686+1200</f>
        <v>106886</v>
      </c>
      <c r="O156" s="115">
        <f>107080+1100</f>
        <v>108180</v>
      </c>
      <c r="P156" s="116">
        <v>2.17</v>
      </c>
      <c r="Q156" s="117"/>
      <c r="R156" s="238">
        <v>250</v>
      </c>
      <c r="S156" s="238">
        <v>125</v>
      </c>
      <c r="T156" s="114"/>
      <c r="U156" s="118">
        <v>200</v>
      </c>
      <c r="V156" s="118">
        <v>100</v>
      </c>
      <c r="W156" s="150" t="s">
        <v>266</v>
      </c>
      <c r="X156" s="150" t="s">
        <v>267</v>
      </c>
    </row>
    <row r="157" spans="1:24" s="128" customFormat="1" x14ac:dyDescent="0.25">
      <c r="A157" s="113">
        <v>104900</v>
      </c>
      <c r="B157" s="27" t="s">
        <v>271</v>
      </c>
      <c r="C157" s="22"/>
      <c r="D157" s="23" t="str">
        <f t="shared" si="34"/>
        <v/>
      </c>
      <c r="E157" s="23" t="str">
        <f t="shared" si="50"/>
        <v/>
      </c>
      <c r="F157" s="23" t="str">
        <f t="shared" si="40"/>
        <v/>
      </c>
      <c r="G157" s="23" t="str">
        <f t="shared" si="39"/>
        <v/>
      </c>
      <c r="H157" s="23" t="str">
        <f t="shared" si="37"/>
        <v/>
      </c>
      <c r="I157" s="23" t="str">
        <f t="shared" si="38"/>
        <v/>
      </c>
      <c r="J157" s="114"/>
      <c r="K157" s="115">
        <v>108657</v>
      </c>
      <c r="L157" s="115">
        <v>104900</v>
      </c>
      <c r="M157" s="115">
        <f>106152+1200</f>
        <v>107352</v>
      </c>
      <c r="N157" s="115">
        <f>107404+1200</f>
        <v>108604</v>
      </c>
      <c r="O157" s="115">
        <f>108657+1100</f>
        <v>109757</v>
      </c>
      <c r="P157" s="116">
        <v>2.17</v>
      </c>
      <c r="Q157" s="117"/>
      <c r="R157" s="238">
        <v>250</v>
      </c>
      <c r="S157" s="238">
        <v>125</v>
      </c>
      <c r="T157" s="114"/>
      <c r="U157" s="118">
        <v>200</v>
      </c>
      <c r="V157" s="118">
        <v>100</v>
      </c>
      <c r="W157" s="150" t="s">
        <v>273</v>
      </c>
      <c r="X157" s="150" t="s">
        <v>275</v>
      </c>
    </row>
    <row r="158" spans="1:24" s="128" customFormat="1" x14ac:dyDescent="0.25">
      <c r="A158" s="113">
        <f>120400</f>
        <v>120400</v>
      </c>
      <c r="B158" s="27" t="s">
        <v>331</v>
      </c>
      <c r="C158" s="22"/>
      <c r="D158" s="23" t="str">
        <f t="shared" si="34"/>
        <v/>
      </c>
      <c r="E158" s="23" t="str">
        <f t="shared" si="50"/>
        <v/>
      </c>
      <c r="F158" s="23" t="str">
        <f t="shared" si="40"/>
        <v/>
      </c>
      <c r="G158" s="23" t="str">
        <f t="shared" si="39"/>
        <v/>
      </c>
      <c r="H158" s="23" t="str">
        <f t="shared" si="37"/>
        <v/>
      </c>
      <c r="I158" s="23" t="str">
        <f t="shared" si="38"/>
        <v/>
      </c>
      <c r="J158" s="114"/>
      <c r="K158" s="115">
        <f>121579</f>
        <v>121579</v>
      </c>
      <c r="L158" s="115">
        <f>120400</f>
        <v>120400</v>
      </c>
      <c r="M158" s="115">
        <f>120793+1200</f>
        <v>121993</v>
      </c>
      <c r="N158" s="115">
        <f>121186+1200</f>
        <v>122386</v>
      </c>
      <c r="O158" s="115">
        <f>121579+1100</f>
        <v>122679</v>
      </c>
      <c r="P158" s="116">
        <v>2.17</v>
      </c>
      <c r="Q158" s="117"/>
      <c r="R158" s="238">
        <v>250</v>
      </c>
      <c r="S158" s="238">
        <v>125</v>
      </c>
      <c r="T158" s="114"/>
      <c r="U158" s="118">
        <v>200</v>
      </c>
      <c r="V158" s="118">
        <v>100</v>
      </c>
      <c r="W158" s="150" t="s">
        <v>383</v>
      </c>
      <c r="X158" s="150" t="s">
        <v>387</v>
      </c>
    </row>
    <row r="159" spans="1:24" s="128" customFormat="1" x14ac:dyDescent="0.25">
      <c r="A159" s="113">
        <v>126900</v>
      </c>
      <c r="B159" s="27" t="s">
        <v>332</v>
      </c>
      <c r="C159" s="22"/>
      <c r="D159" s="23" t="str">
        <f t="shared" si="34"/>
        <v/>
      </c>
      <c r="E159" s="23" t="str">
        <f t="shared" si="50"/>
        <v/>
      </c>
      <c r="F159" s="23" t="str">
        <f t="shared" si="40"/>
        <v/>
      </c>
      <c r="G159" s="23" t="str">
        <f t="shared" si="39"/>
        <v/>
      </c>
      <c r="H159" s="23" t="str">
        <f t="shared" si="37"/>
        <v/>
      </c>
      <c r="I159" s="23" t="str">
        <f t="shared" si="38"/>
        <v/>
      </c>
      <c r="J159" s="114"/>
      <c r="K159" s="115">
        <f>127921</f>
        <v>127921</v>
      </c>
      <c r="L159" s="115">
        <f>126900</f>
        <v>126900</v>
      </c>
      <c r="M159" s="115">
        <f>127240+1200</f>
        <v>128440</v>
      </c>
      <c r="N159" s="115">
        <f>127580+1200</f>
        <v>128780</v>
      </c>
      <c r="O159" s="115">
        <f>127921+1100</f>
        <v>129021</v>
      </c>
      <c r="P159" s="116">
        <v>2.17</v>
      </c>
      <c r="Q159" s="117"/>
      <c r="R159" s="238">
        <v>250</v>
      </c>
      <c r="S159" s="238">
        <v>125</v>
      </c>
      <c r="T159" s="114"/>
      <c r="U159" s="118">
        <v>200</v>
      </c>
      <c r="V159" s="118">
        <v>100</v>
      </c>
      <c r="W159" s="150" t="s">
        <v>388</v>
      </c>
      <c r="X159" s="150" t="s">
        <v>389</v>
      </c>
    </row>
    <row r="160" spans="1:24" s="128" customFormat="1" x14ac:dyDescent="0.25">
      <c r="A160" s="113">
        <v>123900</v>
      </c>
      <c r="B160" s="27" t="s">
        <v>404</v>
      </c>
      <c r="C160" s="22"/>
      <c r="D160" s="23" t="str">
        <f t="shared" si="34"/>
        <v/>
      </c>
      <c r="E160" s="23" t="str">
        <f>IF(C160&gt;=1,(K160-C160)*(1+P160*$E$4/100)/$E$4+Q160+S160,"")</f>
        <v/>
      </c>
      <c r="F160" s="23" t="str">
        <f t="shared" si="40"/>
        <v/>
      </c>
      <c r="G160" s="23" t="str">
        <f t="shared" si="39"/>
        <v/>
      </c>
      <c r="H160" s="23" t="str">
        <f t="shared" si="37"/>
        <v/>
      </c>
      <c r="I160" s="23" t="str">
        <f t="shared" si="38"/>
        <v/>
      </c>
      <c r="J160" s="114"/>
      <c r="K160" s="115">
        <v>125079</v>
      </c>
      <c r="L160" s="115">
        <v>123900</v>
      </c>
      <c r="M160" s="115">
        <f>124293+1200</f>
        <v>125493</v>
      </c>
      <c r="N160" s="115">
        <f>124686+1200</f>
        <v>125886</v>
      </c>
      <c r="O160" s="115">
        <f>125079+1100</f>
        <v>126179</v>
      </c>
      <c r="P160" s="116">
        <v>2.17</v>
      </c>
      <c r="Q160" s="117"/>
      <c r="R160" s="238">
        <v>250</v>
      </c>
      <c r="S160" s="238">
        <v>125</v>
      </c>
      <c r="T160" s="114"/>
      <c r="U160" s="118">
        <v>200</v>
      </c>
      <c r="V160" s="118">
        <v>100</v>
      </c>
      <c r="W160" s="150" t="s">
        <v>402</v>
      </c>
      <c r="X160" s="150" t="s">
        <v>405</v>
      </c>
    </row>
    <row r="161" spans="1:25" s="128" customFormat="1" x14ac:dyDescent="0.25">
      <c r="A161" s="113">
        <v>129900</v>
      </c>
      <c r="B161" s="27" t="s">
        <v>406</v>
      </c>
      <c r="C161" s="22"/>
      <c r="D161" s="23" t="str">
        <f t="shared" si="34"/>
        <v/>
      </c>
      <c r="E161" s="23" t="str">
        <f t="shared" ref="E161:E168" si="51">IF(C161&gt;=1,(K161-C161)*(1+P161*$E$4/100)/$E$4+Q161+S161,"")</f>
        <v/>
      </c>
      <c r="F161" s="23" t="str">
        <f t="shared" si="40"/>
        <v/>
      </c>
      <c r="G161" s="23" t="str">
        <f t="shared" si="39"/>
        <v/>
      </c>
      <c r="H161" s="23" t="str">
        <f t="shared" si="37"/>
        <v/>
      </c>
      <c r="I161" s="23" t="str">
        <f t="shared" si="38"/>
        <v/>
      </c>
      <c r="J161" s="114"/>
      <c r="K161" s="115">
        <f>130921</f>
        <v>130921</v>
      </c>
      <c r="L161" s="115">
        <f>129900</f>
        <v>129900</v>
      </c>
      <c r="M161" s="115">
        <f>130240+1200</f>
        <v>131440</v>
      </c>
      <c r="N161" s="115">
        <f>130580+1200</f>
        <v>131780</v>
      </c>
      <c r="O161" s="115">
        <f>130921+1100</f>
        <v>132021</v>
      </c>
      <c r="P161" s="116">
        <v>2.17</v>
      </c>
      <c r="Q161" s="117"/>
      <c r="R161" s="238">
        <v>250</v>
      </c>
      <c r="S161" s="238">
        <v>125</v>
      </c>
      <c r="T161" s="114"/>
      <c r="U161" s="118">
        <v>200</v>
      </c>
      <c r="V161" s="118">
        <v>100</v>
      </c>
      <c r="W161" s="150" t="s">
        <v>402</v>
      </c>
      <c r="X161" s="150" t="s">
        <v>407</v>
      </c>
    </row>
    <row r="162" spans="1:25" s="128" customFormat="1" x14ac:dyDescent="0.25">
      <c r="A162" s="113">
        <v>125900</v>
      </c>
      <c r="B162" s="210" t="s">
        <v>555</v>
      </c>
      <c r="C162" s="22"/>
      <c r="D162" s="23" t="str">
        <f t="shared" si="34"/>
        <v/>
      </c>
      <c r="E162" s="23" t="str">
        <f>IF(C162&gt;=1,(K162-C162)*(1+P162*$E$4/100)/$E$4+Q162+S162,"")</f>
        <v/>
      </c>
      <c r="F162" s="23" t="str">
        <f t="shared" si="40"/>
        <v/>
      </c>
      <c r="G162" s="23" t="str">
        <f t="shared" si="39"/>
        <v/>
      </c>
      <c r="H162" s="23" t="str">
        <f t="shared" si="37"/>
        <v/>
      </c>
      <c r="I162" s="23" t="str">
        <f t="shared" si="38"/>
        <v/>
      </c>
      <c r="J162" s="114"/>
      <c r="K162" s="115">
        <v>127079</v>
      </c>
      <c r="L162" s="115">
        <v>125900</v>
      </c>
      <c r="M162" s="115">
        <f>126293+1200</f>
        <v>127493</v>
      </c>
      <c r="N162" s="115">
        <f>126686+1200</f>
        <v>127886</v>
      </c>
      <c r="O162" s="115">
        <f>127079+1100</f>
        <v>128179</v>
      </c>
      <c r="P162" s="116">
        <v>2.17</v>
      </c>
      <c r="Q162" s="117"/>
      <c r="R162" s="238">
        <v>250</v>
      </c>
      <c r="S162" s="238">
        <v>125</v>
      </c>
      <c r="T162" s="114"/>
      <c r="U162" s="118">
        <v>200</v>
      </c>
      <c r="V162" s="118">
        <v>100</v>
      </c>
      <c r="W162" s="150" t="s">
        <v>556</v>
      </c>
      <c r="X162" s="150" t="s">
        <v>557</v>
      </c>
    </row>
    <row r="163" spans="1:25" s="128" customFormat="1" x14ac:dyDescent="0.25">
      <c r="A163" s="113">
        <v>145900</v>
      </c>
      <c r="B163" s="210" t="s">
        <v>559</v>
      </c>
      <c r="C163" s="22"/>
      <c r="D163" s="23" t="str">
        <f t="shared" si="34"/>
        <v/>
      </c>
      <c r="E163" s="23" t="str">
        <f t="shared" ref="E163" si="52">IF(C163&gt;=1,(K163-C163)*(1+P163*$E$4/100)/$E$4+Q163+S163,"")</f>
        <v/>
      </c>
      <c r="F163" s="23" t="str">
        <f t="shared" si="40"/>
        <v/>
      </c>
      <c r="G163" s="23" t="str">
        <f t="shared" si="39"/>
        <v/>
      </c>
      <c r="H163" s="23" t="str">
        <f t="shared" si="37"/>
        <v/>
      </c>
      <c r="I163" s="23" t="str">
        <f t="shared" si="38"/>
        <v/>
      </c>
      <c r="J163" s="114"/>
      <c r="K163" s="115">
        <v>146921</v>
      </c>
      <c r="L163" s="115">
        <v>145900</v>
      </c>
      <c r="M163" s="115">
        <f>146240+1200</f>
        <v>147440</v>
      </c>
      <c r="N163" s="115">
        <f>146581+1200</f>
        <v>147781</v>
      </c>
      <c r="O163" s="115">
        <f>146921+1100</f>
        <v>148021</v>
      </c>
      <c r="P163" s="116">
        <v>2.17</v>
      </c>
      <c r="Q163" s="117"/>
      <c r="R163" s="238">
        <v>250</v>
      </c>
      <c r="S163" s="238">
        <v>125</v>
      </c>
      <c r="T163" s="114"/>
      <c r="U163" s="118">
        <v>200</v>
      </c>
      <c r="V163" s="118">
        <v>100</v>
      </c>
      <c r="W163" s="150" t="s">
        <v>556</v>
      </c>
      <c r="X163" s="150" t="s">
        <v>558</v>
      </c>
    </row>
    <row r="164" spans="1:25" s="128" customFormat="1" x14ac:dyDescent="0.25">
      <c r="A164" s="113">
        <v>96200</v>
      </c>
      <c r="B164" s="27" t="s">
        <v>51</v>
      </c>
      <c r="C164" s="22"/>
      <c r="D164" s="23" t="str">
        <f t="shared" si="34"/>
        <v/>
      </c>
      <c r="E164" s="23" t="str">
        <f t="shared" si="51"/>
        <v/>
      </c>
      <c r="F164" s="23" t="str">
        <f t="shared" si="40"/>
        <v/>
      </c>
      <c r="G164" s="23" t="str">
        <f t="shared" si="39"/>
        <v/>
      </c>
      <c r="H164" s="23" t="str">
        <f t="shared" si="37"/>
        <v/>
      </c>
      <c r="I164" s="23" t="str">
        <f t="shared" si="38"/>
        <v/>
      </c>
      <c r="J164" s="114"/>
      <c r="K164" s="115">
        <v>97800</v>
      </c>
      <c r="L164" s="115">
        <v>95100</v>
      </c>
      <c r="M164" s="115">
        <f>96960+240</f>
        <v>97200</v>
      </c>
      <c r="N164" s="115">
        <f>97860+240</f>
        <v>98100</v>
      </c>
      <c r="O164" s="115">
        <f>98660+240</f>
        <v>98900</v>
      </c>
      <c r="P164" s="116">
        <v>2.17</v>
      </c>
      <c r="Q164" s="117"/>
      <c r="R164" s="238">
        <v>250</v>
      </c>
      <c r="S164" s="238">
        <v>125</v>
      </c>
      <c r="T164" s="114"/>
      <c r="U164" s="118">
        <v>200</v>
      </c>
      <c r="V164" s="118">
        <v>50</v>
      </c>
      <c r="W164" s="119"/>
      <c r="X164" s="119"/>
    </row>
    <row r="165" spans="1:25" x14ac:dyDescent="0.25">
      <c r="A165" s="113">
        <v>63900</v>
      </c>
      <c r="B165" s="27" t="s">
        <v>99</v>
      </c>
      <c r="C165" s="22"/>
      <c r="D165" s="23" t="str">
        <f t="shared" si="34"/>
        <v/>
      </c>
      <c r="E165" s="23" t="str">
        <f t="shared" si="51"/>
        <v/>
      </c>
      <c r="F165" s="23" t="str">
        <f t="shared" si="40"/>
        <v/>
      </c>
      <c r="G165" s="23" t="str">
        <f t="shared" si="39"/>
        <v/>
      </c>
      <c r="H165" s="23" t="str">
        <f t="shared" si="37"/>
        <v/>
      </c>
      <c r="I165" s="23" t="str">
        <f t="shared" si="38"/>
        <v/>
      </c>
      <c r="J165" s="114"/>
      <c r="K165" s="115">
        <v>67500</v>
      </c>
      <c r="L165" s="115">
        <v>66100</v>
      </c>
      <c r="M165" s="115">
        <f>67526+240</f>
        <v>67766</v>
      </c>
      <c r="N165" s="115">
        <f>67993+240</f>
        <v>68233</v>
      </c>
      <c r="O165" s="115">
        <f>68360+240</f>
        <v>68600</v>
      </c>
      <c r="P165" s="116">
        <v>2.17</v>
      </c>
      <c r="Q165" s="117"/>
      <c r="R165" s="238">
        <v>250</v>
      </c>
      <c r="S165" s="238">
        <v>125</v>
      </c>
      <c r="T165" s="114"/>
      <c r="U165" s="118">
        <v>200</v>
      </c>
      <c r="V165" s="118">
        <v>100</v>
      </c>
      <c r="W165" s="119"/>
      <c r="X165" s="119"/>
    </row>
    <row r="166" spans="1:25" s="128" customFormat="1" x14ac:dyDescent="0.25">
      <c r="A166" s="120">
        <v>73400</v>
      </c>
      <c r="B166" s="27" t="s">
        <v>291</v>
      </c>
      <c r="C166" s="22"/>
      <c r="D166" s="23" t="str">
        <f t="shared" si="34"/>
        <v/>
      </c>
      <c r="E166" s="23" t="str">
        <f t="shared" si="51"/>
        <v/>
      </c>
      <c r="F166" s="23" t="str">
        <f t="shared" si="40"/>
        <v/>
      </c>
      <c r="G166" s="23" t="str">
        <f t="shared" si="39"/>
        <v/>
      </c>
      <c r="H166" s="23" t="str">
        <f t="shared" si="37"/>
        <v/>
      </c>
      <c r="I166" s="23" t="str">
        <f t="shared" si="38"/>
        <v/>
      </c>
      <c r="J166" s="121"/>
      <c r="K166" s="122">
        <f>76241</f>
        <v>76241</v>
      </c>
      <c r="L166" s="122">
        <f>75264</f>
        <v>75264</v>
      </c>
      <c r="M166" s="115">
        <f>75589+1200</f>
        <v>76789</v>
      </c>
      <c r="N166" s="115">
        <f>75915+1200</f>
        <v>77115</v>
      </c>
      <c r="O166" s="115">
        <f>76241+1100</f>
        <v>77341</v>
      </c>
      <c r="P166" s="123">
        <v>2.17</v>
      </c>
      <c r="Q166" s="124"/>
      <c r="R166" s="238">
        <v>250</v>
      </c>
      <c r="S166" s="238">
        <v>125</v>
      </c>
      <c r="T166" s="121"/>
      <c r="U166" s="125">
        <v>200</v>
      </c>
      <c r="V166" s="118">
        <v>50</v>
      </c>
      <c r="W166" s="150" t="s">
        <v>383</v>
      </c>
      <c r="X166" s="150" t="s">
        <v>391</v>
      </c>
    </row>
    <row r="167" spans="1:25" s="128" customFormat="1" x14ac:dyDescent="0.25">
      <c r="A167" s="120">
        <v>146000</v>
      </c>
      <c r="B167" s="27" t="s">
        <v>97</v>
      </c>
      <c r="C167" s="22"/>
      <c r="D167" s="23" t="str">
        <f t="shared" si="34"/>
        <v/>
      </c>
      <c r="E167" s="23" t="str">
        <f t="shared" si="51"/>
        <v/>
      </c>
      <c r="F167" s="23" t="str">
        <f t="shared" si="40"/>
        <v/>
      </c>
      <c r="G167" s="23" t="str">
        <f t="shared" si="39"/>
        <v/>
      </c>
      <c r="H167" s="23" t="str">
        <f t="shared" si="37"/>
        <v/>
      </c>
      <c r="I167" s="23" t="str">
        <f t="shared" si="38"/>
        <v/>
      </c>
      <c r="J167" s="121"/>
      <c r="K167" s="122">
        <v>150380</v>
      </c>
      <c r="L167" s="122">
        <v>146100</v>
      </c>
      <c r="M167" s="115">
        <f>147526+1200</f>
        <v>148726</v>
      </c>
      <c r="N167" s="115">
        <f>148952+1200</f>
        <v>150152</v>
      </c>
      <c r="O167" s="115">
        <f>150380+1100</f>
        <v>151480</v>
      </c>
      <c r="P167" s="123">
        <v>2.17</v>
      </c>
      <c r="Q167" s="124"/>
      <c r="R167" s="238">
        <v>250</v>
      </c>
      <c r="S167" s="238">
        <v>125</v>
      </c>
      <c r="T167" s="121"/>
      <c r="U167" s="125">
        <v>200</v>
      </c>
      <c r="V167" s="118">
        <v>50</v>
      </c>
      <c r="W167" s="119"/>
      <c r="X167" s="119"/>
    </row>
    <row r="168" spans="1:25" s="128" customFormat="1" x14ac:dyDescent="0.25">
      <c r="A168" s="120">
        <v>139000</v>
      </c>
      <c r="B168" s="27" t="s">
        <v>131</v>
      </c>
      <c r="C168" s="22"/>
      <c r="D168" s="23" t="str">
        <f t="shared" si="34"/>
        <v/>
      </c>
      <c r="E168" s="23" t="str">
        <f t="shared" si="51"/>
        <v/>
      </c>
      <c r="F168" s="23" t="str">
        <f t="shared" si="40"/>
        <v/>
      </c>
      <c r="G168" s="23" t="str">
        <f>IF(C168&gt;=1, (K168-C168)*(1+$P168*$G$4/100)/$G$4+Q168+S168,"")</f>
        <v/>
      </c>
      <c r="H168" s="23" t="str">
        <f t="shared" si="37"/>
        <v/>
      </c>
      <c r="I168" s="23" t="str">
        <f t="shared" si="38"/>
        <v/>
      </c>
      <c r="J168" s="121"/>
      <c r="K168" s="122">
        <v>144242</v>
      </c>
      <c r="L168" s="122">
        <v>138999</v>
      </c>
      <c r="M168" s="115">
        <f>141706+240</f>
        <v>141946</v>
      </c>
      <c r="N168" s="115">
        <f>143454+240</f>
        <v>143694</v>
      </c>
      <c r="O168" s="115">
        <f>145102+240</f>
        <v>145342</v>
      </c>
      <c r="P168" s="123">
        <v>2.17</v>
      </c>
      <c r="Q168" s="124"/>
      <c r="R168" s="238">
        <v>250</v>
      </c>
      <c r="S168" s="238">
        <v>125</v>
      </c>
      <c r="T168" s="121"/>
      <c r="U168" s="125">
        <v>200</v>
      </c>
      <c r="V168" s="118">
        <v>100</v>
      </c>
      <c r="W168" s="119"/>
      <c r="X168" s="119"/>
    </row>
    <row r="169" spans="1:25" s="128" customFormat="1" x14ac:dyDescent="0.25">
      <c r="A169" s="120">
        <v>142900</v>
      </c>
      <c r="B169" s="27" t="s">
        <v>138</v>
      </c>
      <c r="C169" s="22"/>
      <c r="D169" s="23" t="str">
        <f t="shared" si="34"/>
        <v/>
      </c>
      <c r="E169" s="23" t="str">
        <f>IF(C169&gt;=1,(K169-C169)*(1+P169*$E$4/100)/$E$4+Q169+S169,"")</f>
        <v/>
      </c>
      <c r="F169" s="23" t="str">
        <f t="shared" si="40"/>
        <v/>
      </c>
      <c r="G169" s="23" t="str">
        <f t="shared" si="39"/>
        <v/>
      </c>
      <c r="H169" s="23" t="str">
        <f t="shared" si="37"/>
        <v/>
      </c>
      <c r="I169" s="23" t="str">
        <f t="shared" si="38"/>
        <v/>
      </c>
      <c r="J169" s="121"/>
      <c r="K169" s="122">
        <v>148142</v>
      </c>
      <c r="L169" s="122">
        <v>142900</v>
      </c>
      <c r="M169" s="115">
        <f>145607+240</f>
        <v>145847</v>
      </c>
      <c r="N169" s="115">
        <f>147354+240</f>
        <v>147594</v>
      </c>
      <c r="O169" s="115">
        <f>149002+240</f>
        <v>149242</v>
      </c>
      <c r="P169" s="123">
        <v>2.17</v>
      </c>
      <c r="Q169" s="124"/>
      <c r="R169" s="238">
        <v>250</v>
      </c>
      <c r="S169" s="238">
        <v>125</v>
      </c>
      <c r="T169" s="121"/>
      <c r="U169" s="125">
        <v>200</v>
      </c>
      <c r="V169" s="118">
        <v>100</v>
      </c>
      <c r="W169" s="119"/>
      <c r="X169" s="119"/>
    </row>
    <row r="170" spans="1:25" s="128" customFormat="1" x14ac:dyDescent="0.25">
      <c r="A170" s="120">
        <v>55900</v>
      </c>
      <c r="B170" s="27" t="s">
        <v>30</v>
      </c>
      <c r="C170" s="22"/>
      <c r="D170" s="23" t="str">
        <f t="shared" si="34"/>
        <v/>
      </c>
      <c r="E170" s="23" t="str">
        <f t="shared" ref="E170:E175" si="53">IF(C170&gt;=1,(K170-C170)*(1+P170*$E$4/100)/$E$4+Q170+S170,"")</f>
        <v/>
      </c>
      <c r="F170" s="23" t="str">
        <f t="shared" si="40"/>
        <v/>
      </c>
      <c r="G170" s="23" t="str">
        <f t="shared" si="39"/>
        <v/>
      </c>
      <c r="H170" s="23" t="str">
        <f t="shared" si="37"/>
        <v/>
      </c>
      <c r="I170" s="23" t="str">
        <f t="shared" si="38"/>
        <v/>
      </c>
      <c r="J170" s="121"/>
      <c r="K170" s="115">
        <f>56700+1200</f>
        <v>57900</v>
      </c>
      <c r="L170" s="115">
        <f>56500+1200</f>
        <v>57700</v>
      </c>
      <c r="M170" s="115">
        <f>58567+60+240</f>
        <v>58867</v>
      </c>
      <c r="N170" s="115">
        <f>58634+60+240</f>
        <v>58934</v>
      </c>
      <c r="O170" s="115">
        <f>58600+60+240</f>
        <v>58900</v>
      </c>
      <c r="P170" s="123">
        <v>2.17</v>
      </c>
      <c r="Q170" s="124"/>
      <c r="R170" s="238">
        <v>250</v>
      </c>
      <c r="S170" s="238">
        <v>125</v>
      </c>
      <c r="T170" s="121"/>
      <c r="U170" s="125">
        <v>200</v>
      </c>
      <c r="V170" s="125">
        <v>50</v>
      </c>
      <c r="W170" s="126"/>
      <c r="X170" s="126"/>
    </row>
    <row r="171" spans="1:25" s="128" customFormat="1" x14ac:dyDescent="0.25">
      <c r="A171" s="113">
        <v>53900</v>
      </c>
      <c r="B171" s="27" t="s">
        <v>31</v>
      </c>
      <c r="C171" s="22"/>
      <c r="D171" s="23" t="str">
        <f t="shared" si="34"/>
        <v/>
      </c>
      <c r="E171" s="23" t="str">
        <f t="shared" si="53"/>
        <v/>
      </c>
      <c r="F171" s="23" t="str">
        <f t="shared" si="40"/>
        <v/>
      </c>
      <c r="G171" s="23" t="str">
        <f t="shared" si="39"/>
        <v/>
      </c>
      <c r="H171" s="23" t="str">
        <f t="shared" si="37"/>
        <v/>
      </c>
      <c r="I171" s="23" t="str">
        <f t="shared" si="38"/>
        <v/>
      </c>
      <c r="J171" s="114"/>
      <c r="K171" s="115">
        <v>55800</v>
      </c>
      <c r="L171" s="115">
        <v>55600</v>
      </c>
      <c r="M171" s="115">
        <f>56626+240</f>
        <v>56866</v>
      </c>
      <c r="N171" s="115">
        <f>56693+240</f>
        <v>56933</v>
      </c>
      <c r="O171" s="115">
        <f>56660+240</f>
        <v>56900</v>
      </c>
      <c r="P171" s="116">
        <v>2.17</v>
      </c>
      <c r="Q171" s="117"/>
      <c r="R171" s="238">
        <v>250</v>
      </c>
      <c r="S171" s="238">
        <v>125</v>
      </c>
      <c r="T171" s="114"/>
      <c r="U171" s="118">
        <v>200</v>
      </c>
      <c r="V171" s="118">
        <v>50</v>
      </c>
      <c r="W171" s="119"/>
      <c r="X171" s="119"/>
    </row>
    <row r="172" spans="1:25" x14ac:dyDescent="0.25">
      <c r="A172" s="120">
        <f>65200+1000</f>
        <v>66200</v>
      </c>
      <c r="B172" s="27" t="s">
        <v>32</v>
      </c>
      <c r="C172" s="22"/>
      <c r="D172" s="23" t="str">
        <f t="shared" si="34"/>
        <v/>
      </c>
      <c r="E172" s="23" t="str">
        <f t="shared" si="53"/>
        <v/>
      </c>
      <c r="F172" s="23" t="str">
        <f t="shared" si="40"/>
        <v/>
      </c>
      <c r="G172" s="23" t="str">
        <f t="shared" si="39"/>
        <v/>
      </c>
      <c r="H172" s="23" t="str">
        <f t="shared" si="37"/>
        <v/>
      </c>
      <c r="I172" s="23" t="str">
        <f t="shared" si="38"/>
        <v/>
      </c>
      <c r="J172" s="121"/>
      <c r="K172" s="122">
        <v>69392</v>
      </c>
      <c r="L172" s="122">
        <v>68300</v>
      </c>
      <c r="M172" s="115">
        <f>69564+60+240</f>
        <v>69864</v>
      </c>
      <c r="N172" s="115">
        <f>69928+60+240</f>
        <v>70228</v>
      </c>
      <c r="O172" s="115">
        <f>70192+60+240</f>
        <v>70492</v>
      </c>
      <c r="P172" s="123">
        <v>2.17</v>
      </c>
      <c r="Q172" s="124"/>
      <c r="R172" s="238">
        <v>250</v>
      </c>
      <c r="S172" s="238">
        <v>125</v>
      </c>
      <c r="T172" s="121"/>
      <c r="U172" s="125">
        <v>200</v>
      </c>
      <c r="V172" s="125">
        <v>50</v>
      </c>
      <c r="W172" s="126"/>
      <c r="X172" s="126"/>
    </row>
    <row r="173" spans="1:25" x14ac:dyDescent="0.25">
      <c r="A173" s="120">
        <v>169000</v>
      </c>
      <c r="B173" s="129" t="s">
        <v>370</v>
      </c>
      <c r="C173" s="22"/>
      <c r="D173" s="23" t="str">
        <f t="shared" si="34"/>
        <v/>
      </c>
      <c r="E173" s="23" t="str">
        <f t="shared" si="53"/>
        <v/>
      </c>
      <c r="F173" s="23" t="str">
        <f t="shared" si="40"/>
        <v/>
      </c>
      <c r="G173" s="23" t="str">
        <f t="shared" si="39"/>
        <v/>
      </c>
      <c r="H173" s="23" t="str">
        <f t="shared" si="37"/>
        <v/>
      </c>
      <c r="I173" s="23" t="str">
        <f t="shared" si="38"/>
        <v/>
      </c>
      <c r="J173" s="121"/>
      <c r="K173" s="122">
        <v>170333</v>
      </c>
      <c r="L173" s="122">
        <v>169000</v>
      </c>
      <c r="M173" s="115">
        <f>169444+1200</f>
        <v>170644</v>
      </c>
      <c r="N173" s="115">
        <f>169888+1200</f>
        <v>171088</v>
      </c>
      <c r="O173" s="115">
        <f>170333+1100</f>
        <v>171433</v>
      </c>
      <c r="P173" s="123">
        <v>2.17</v>
      </c>
      <c r="Q173" s="124"/>
      <c r="R173" s="238">
        <v>250</v>
      </c>
      <c r="S173" s="238">
        <v>125</v>
      </c>
      <c r="T173" s="121"/>
      <c r="U173" s="125">
        <v>200</v>
      </c>
      <c r="V173" s="125">
        <v>50</v>
      </c>
      <c r="W173" s="126">
        <v>44072</v>
      </c>
      <c r="X173" s="126" t="s">
        <v>270</v>
      </c>
    </row>
    <row r="174" spans="1:25" x14ac:dyDescent="0.25">
      <c r="A174" s="120">
        <v>180000</v>
      </c>
      <c r="B174" s="129" t="s">
        <v>649</v>
      </c>
      <c r="C174" s="22"/>
      <c r="D174" s="23" t="str">
        <f t="shared" si="34"/>
        <v/>
      </c>
      <c r="E174" s="23" t="str">
        <f t="shared" si="53"/>
        <v/>
      </c>
      <c r="F174" s="23" t="str">
        <f t="shared" si="40"/>
        <v/>
      </c>
      <c r="G174" s="23" t="str">
        <f t="shared" si="39"/>
        <v/>
      </c>
      <c r="H174" s="23" t="str">
        <f t="shared" si="37"/>
        <v/>
      </c>
      <c r="I174" s="23" t="str">
        <f t="shared" si="38"/>
        <v/>
      </c>
      <c r="J174" s="121"/>
      <c r="K174" s="122">
        <v>181333</v>
      </c>
      <c r="L174" s="122">
        <f>180000</f>
        <v>180000</v>
      </c>
      <c r="M174" s="115">
        <f>180444+1200</f>
        <v>181644</v>
      </c>
      <c r="N174" s="115">
        <f>180888+1200</f>
        <v>182088</v>
      </c>
      <c r="O174" s="115">
        <f>181333+1100</f>
        <v>182433</v>
      </c>
      <c r="P174" s="123">
        <v>2.17</v>
      </c>
      <c r="Q174" s="124"/>
      <c r="R174" s="238">
        <v>250</v>
      </c>
      <c r="S174" s="238">
        <v>125</v>
      </c>
      <c r="T174" s="121"/>
      <c r="U174" s="125">
        <v>200</v>
      </c>
      <c r="V174" s="125">
        <v>50</v>
      </c>
      <c r="W174" s="127" t="s">
        <v>651</v>
      </c>
      <c r="X174" s="126" t="s">
        <v>650</v>
      </c>
    </row>
    <row r="175" spans="1:25" s="128" customFormat="1" x14ac:dyDescent="0.25">
      <c r="A175" s="120">
        <v>90900</v>
      </c>
      <c r="B175" s="27" t="s">
        <v>623</v>
      </c>
      <c r="C175" s="22"/>
      <c r="D175" s="23" t="str">
        <f t="shared" si="34"/>
        <v/>
      </c>
      <c r="E175" s="23" t="str">
        <f t="shared" si="53"/>
        <v/>
      </c>
      <c r="F175" s="23" t="str">
        <f t="shared" si="40"/>
        <v/>
      </c>
      <c r="G175" s="23" t="str">
        <f t="shared" si="39"/>
        <v/>
      </c>
      <c r="H175" s="23" t="str">
        <f t="shared" si="37"/>
        <v/>
      </c>
      <c r="I175" s="23" t="str">
        <f t="shared" si="38"/>
        <v/>
      </c>
      <c r="J175" s="121"/>
      <c r="K175" s="122">
        <f>92615</f>
        <v>92615</v>
      </c>
      <c r="L175" s="122">
        <f>90900</f>
        <v>90900</v>
      </c>
      <c r="M175" s="115">
        <f>91471+1200</f>
        <v>92671</v>
      </c>
      <c r="N175" s="115">
        <f>92043+1200</f>
        <v>93243</v>
      </c>
      <c r="O175" s="115">
        <f>92615+1100</f>
        <v>93715</v>
      </c>
      <c r="P175" s="123">
        <v>2.17</v>
      </c>
      <c r="Q175" s="124"/>
      <c r="R175" s="238">
        <v>250</v>
      </c>
      <c r="S175" s="238">
        <v>125</v>
      </c>
      <c r="T175" s="121"/>
      <c r="U175" s="125">
        <v>200</v>
      </c>
      <c r="V175" s="125">
        <v>50</v>
      </c>
      <c r="W175" s="127" t="s">
        <v>624</v>
      </c>
      <c r="X175" s="126" t="s">
        <v>625</v>
      </c>
      <c r="Y175" s="4"/>
    </row>
    <row r="176" spans="1:25" s="128" customFormat="1" x14ac:dyDescent="0.25">
      <c r="A176" s="120">
        <v>240500</v>
      </c>
      <c r="B176" s="27" t="s">
        <v>292</v>
      </c>
      <c r="C176" s="22"/>
      <c r="D176" s="23" t="str">
        <f t="shared" si="34"/>
        <v/>
      </c>
      <c r="E176" s="23" t="str">
        <f>IF(C176&gt;=1,(K176-C176)*(1+P176*$E$4/100)/$E$4+Q176+S176,"")</f>
        <v/>
      </c>
      <c r="F176" s="23" t="str">
        <f t="shared" si="40"/>
        <v/>
      </c>
      <c r="G176" s="23" t="str">
        <f t="shared" si="39"/>
        <v/>
      </c>
      <c r="H176" s="23" t="str">
        <f t="shared" si="37"/>
        <v/>
      </c>
      <c r="I176" s="23" t="str">
        <f t="shared" si="38"/>
        <v/>
      </c>
      <c r="J176" s="121"/>
      <c r="K176" s="122">
        <f>243539</f>
        <v>243539</v>
      </c>
      <c r="L176" s="122">
        <f>240500</f>
        <v>240500</v>
      </c>
      <c r="M176" s="115">
        <f>241513+1200</f>
        <v>242713</v>
      </c>
      <c r="N176" s="115">
        <f>242526+1200</f>
        <v>243726</v>
      </c>
      <c r="O176" s="115">
        <f>243539+1100</f>
        <v>244639</v>
      </c>
      <c r="P176" s="123">
        <v>2.17</v>
      </c>
      <c r="Q176" s="124"/>
      <c r="R176" s="238">
        <v>250</v>
      </c>
      <c r="S176" s="238">
        <v>125</v>
      </c>
      <c r="T176" s="121"/>
      <c r="U176" s="125">
        <v>200</v>
      </c>
      <c r="V176" s="125">
        <v>50</v>
      </c>
      <c r="W176" s="127" t="s">
        <v>383</v>
      </c>
      <c r="X176" s="126" t="s">
        <v>395</v>
      </c>
    </row>
    <row r="177" spans="1:24" s="128" customFormat="1" x14ac:dyDescent="0.25">
      <c r="A177" s="120">
        <v>162000</v>
      </c>
      <c r="B177" s="129" t="s">
        <v>309</v>
      </c>
      <c r="C177" s="22"/>
      <c r="D177" s="23" t="str">
        <f t="shared" si="34"/>
        <v/>
      </c>
      <c r="E177" s="23" t="str">
        <f>IF(C177&gt;=1,(K177-C177)*(1+P177*$E$4/100)/$E$4+Q177+S177,"")</f>
        <v/>
      </c>
      <c r="F177" s="23" t="str">
        <f t="shared" si="40"/>
        <v/>
      </c>
      <c r="G177" s="23" t="str">
        <f t="shared" si="39"/>
        <v/>
      </c>
      <c r="H177" s="23" t="str">
        <f t="shared" si="37"/>
        <v/>
      </c>
      <c r="I177" s="23" t="str">
        <f t="shared" si="38"/>
        <v/>
      </c>
      <c r="J177" s="121"/>
      <c r="K177" s="122">
        <v>166481</v>
      </c>
      <c r="L177" s="122">
        <v>162000</v>
      </c>
      <c r="M177" s="115">
        <f>163493+1200</f>
        <v>164693</v>
      </c>
      <c r="N177" s="115">
        <f>164987+1200</f>
        <v>166187</v>
      </c>
      <c r="O177" s="115">
        <f>166481+1100</f>
        <v>167581</v>
      </c>
      <c r="P177" s="123">
        <v>2.17</v>
      </c>
      <c r="Q177" s="124"/>
      <c r="R177" s="238">
        <v>250</v>
      </c>
      <c r="S177" s="238">
        <v>125</v>
      </c>
      <c r="T177" s="121"/>
      <c r="U177" s="125">
        <v>200</v>
      </c>
      <c r="V177" s="125">
        <v>50</v>
      </c>
      <c r="W177" s="127" t="s">
        <v>303</v>
      </c>
      <c r="X177" s="126" t="s">
        <v>310</v>
      </c>
    </row>
    <row r="178" spans="1:24" s="128" customFormat="1" x14ac:dyDescent="0.25">
      <c r="A178" s="120">
        <v>182000</v>
      </c>
      <c r="B178" s="129" t="s">
        <v>648</v>
      </c>
      <c r="C178" s="22">
        <v>50000</v>
      </c>
      <c r="D178" s="23">
        <f t="shared" si="34"/>
        <v>25962.05</v>
      </c>
      <c r="E178" s="23">
        <f t="shared" ref="E178:E183" si="54">IF(C178&gt;=1,(K178-C178)*(1+P178*$E$4/100)/$E$4+Q178+S178,"")</f>
        <v>14462.050000000001</v>
      </c>
      <c r="F178" s="23">
        <f t="shared" si="40"/>
        <v>10670.383333333333</v>
      </c>
      <c r="G178" s="23">
        <f t="shared" si="39"/>
        <v>8774.5499999999993</v>
      </c>
      <c r="H178" s="23">
        <f t="shared" si="37"/>
        <v>7637.0499999999993</v>
      </c>
      <c r="I178" s="23">
        <f t="shared" si="38"/>
        <v>6878.7166666666672</v>
      </c>
      <c r="J178" s="121"/>
      <c r="K178" s="122">
        <f>186500</f>
        <v>186500</v>
      </c>
      <c r="L178" s="122">
        <f>182000</f>
        <v>182000</v>
      </c>
      <c r="M178" s="115">
        <f>183500+1200</f>
        <v>184700</v>
      </c>
      <c r="N178" s="115">
        <f>185000+1200</f>
        <v>186200</v>
      </c>
      <c r="O178" s="115">
        <f>186500+1100</f>
        <v>187600</v>
      </c>
      <c r="P178" s="123">
        <v>2.17</v>
      </c>
      <c r="Q178" s="124"/>
      <c r="R178" s="238">
        <v>250</v>
      </c>
      <c r="S178" s="238">
        <v>125</v>
      </c>
      <c r="T178" s="121"/>
      <c r="U178" s="125">
        <v>200</v>
      </c>
      <c r="V178" s="125">
        <v>50</v>
      </c>
      <c r="W178" s="127" t="s">
        <v>651</v>
      </c>
      <c r="X178" s="126" t="s">
        <v>652</v>
      </c>
    </row>
    <row r="179" spans="1:24" x14ac:dyDescent="0.25">
      <c r="A179" s="113">
        <v>57900</v>
      </c>
      <c r="B179" s="27" t="s">
        <v>179</v>
      </c>
      <c r="C179" s="22"/>
      <c r="D179" s="23" t="str">
        <f t="shared" si="34"/>
        <v/>
      </c>
      <c r="E179" s="23" t="str">
        <f t="shared" si="54"/>
        <v/>
      </c>
      <c r="F179" s="23" t="str">
        <f t="shared" si="40"/>
        <v/>
      </c>
      <c r="G179" s="23" t="str">
        <f t="shared" si="39"/>
        <v/>
      </c>
      <c r="H179" s="23" t="str">
        <f t="shared" si="37"/>
        <v/>
      </c>
      <c r="I179" s="23" t="str">
        <f t="shared" si="38"/>
        <v/>
      </c>
      <c r="J179" s="114"/>
      <c r="K179" s="115">
        <f>62110</f>
        <v>62110</v>
      </c>
      <c r="L179" s="115">
        <f>61108</f>
        <v>61108</v>
      </c>
      <c r="M179" s="115">
        <f>61442+1200</f>
        <v>62642</v>
      </c>
      <c r="N179" s="115">
        <f>61776+1200</f>
        <v>62976</v>
      </c>
      <c r="O179" s="115">
        <f>62110+1100</f>
        <v>63210</v>
      </c>
      <c r="P179" s="116">
        <v>2.17</v>
      </c>
      <c r="Q179" s="117"/>
      <c r="R179" s="238">
        <v>250</v>
      </c>
      <c r="S179" s="238">
        <v>125</v>
      </c>
      <c r="T179" s="114"/>
      <c r="U179" s="118">
        <v>200</v>
      </c>
      <c r="V179" s="118">
        <v>100</v>
      </c>
      <c r="W179" s="150" t="s">
        <v>500</v>
      </c>
      <c r="X179" s="150" t="s">
        <v>501</v>
      </c>
    </row>
    <row r="180" spans="1:24" x14ac:dyDescent="0.25">
      <c r="A180" s="113">
        <v>239000</v>
      </c>
      <c r="B180" s="27" t="s">
        <v>180</v>
      </c>
      <c r="C180" s="22"/>
      <c r="D180" s="23" t="str">
        <f t="shared" si="34"/>
        <v/>
      </c>
      <c r="E180" s="23" t="str">
        <f t="shared" si="54"/>
        <v/>
      </c>
      <c r="F180" s="23" t="str">
        <f t="shared" si="40"/>
        <v/>
      </c>
      <c r="G180" s="23" t="str">
        <f t="shared" si="39"/>
        <v/>
      </c>
      <c r="H180" s="231"/>
      <c r="I180" s="231"/>
      <c r="J180" s="114"/>
      <c r="K180" s="115">
        <v>246054</v>
      </c>
      <c r="L180" s="115">
        <v>239000</v>
      </c>
      <c r="M180" s="115">
        <f>241351+1200</f>
        <v>242551</v>
      </c>
      <c r="N180" s="115">
        <f>241351+1200</f>
        <v>242551</v>
      </c>
      <c r="O180" s="115">
        <f>246054+1100</f>
        <v>247154</v>
      </c>
      <c r="P180" s="116">
        <v>2.17</v>
      </c>
      <c r="Q180" s="117"/>
      <c r="R180" s="238">
        <v>250</v>
      </c>
      <c r="S180" s="238">
        <v>125</v>
      </c>
      <c r="T180" s="114"/>
      <c r="U180" s="118">
        <v>350</v>
      </c>
      <c r="V180" s="118">
        <v>100</v>
      </c>
      <c r="W180" s="150" t="s">
        <v>178</v>
      </c>
      <c r="X180" s="150"/>
    </row>
    <row r="181" spans="1:24" x14ac:dyDescent="0.25">
      <c r="A181" s="113">
        <v>259000</v>
      </c>
      <c r="B181" s="129" t="s">
        <v>289</v>
      </c>
      <c r="C181" s="22"/>
      <c r="D181" s="23" t="str">
        <f t="shared" si="34"/>
        <v/>
      </c>
      <c r="E181" s="23" t="str">
        <f t="shared" si="54"/>
        <v/>
      </c>
      <c r="F181" s="23" t="str">
        <f t="shared" si="40"/>
        <v/>
      </c>
      <c r="G181" s="23" t="str">
        <f t="shared" si="39"/>
        <v/>
      </c>
      <c r="H181" s="231"/>
      <c r="I181" s="231"/>
      <c r="J181" s="114"/>
      <c r="K181" s="115">
        <v>265228</v>
      </c>
      <c r="L181" s="115">
        <v>259000</v>
      </c>
      <c r="M181" s="115">
        <f>261076+1200</f>
        <v>262276</v>
      </c>
      <c r="N181" s="115">
        <f>263152+1200</f>
        <v>264352</v>
      </c>
      <c r="O181" s="115">
        <f>265228+1100</f>
        <v>266328</v>
      </c>
      <c r="P181" s="116">
        <v>2.17</v>
      </c>
      <c r="Q181" s="117"/>
      <c r="R181" s="238">
        <v>250</v>
      </c>
      <c r="S181" s="238">
        <v>125</v>
      </c>
      <c r="T181" s="114"/>
      <c r="U181" s="118">
        <v>350</v>
      </c>
      <c r="V181" s="118">
        <v>100</v>
      </c>
      <c r="W181" s="150" t="s">
        <v>285</v>
      </c>
      <c r="X181" s="150" t="s">
        <v>290</v>
      </c>
    </row>
    <row r="182" spans="1:24" x14ac:dyDescent="0.25">
      <c r="A182" s="113">
        <v>279000</v>
      </c>
      <c r="B182" s="129" t="s">
        <v>362</v>
      </c>
      <c r="C182" s="22"/>
      <c r="D182" s="23" t="str">
        <f t="shared" si="34"/>
        <v/>
      </c>
      <c r="E182" s="23" t="str">
        <f t="shared" si="54"/>
        <v/>
      </c>
      <c r="F182" s="23" t="str">
        <f t="shared" si="40"/>
        <v/>
      </c>
      <c r="G182" s="23" t="str">
        <f t="shared" si="39"/>
        <v/>
      </c>
      <c r="H182" s="231"/>
      <c r="I182" s="231"/>
      <c r="J182" s="114"/>
      <c r="K182" s="115">
        <f>287130</f>
        <v>287130</v>
      </c>
      <c r="L182" s="115">
        <f>279000</f>
        <v>279000</v>
      </c>
      <c r="M182" s="115">
        <f>281710+1200</f>
        <v>282910</v>
      </c>
      <c r="N182" s="115">
        <f>284420+1200</f>
        <v>285620</v>
      </c>
      <c r="O182" s="115">
        <f>287130+1100</f>
        <v>288230</v>
      </c>
      <c r="P182" s="116">
        <v>2.17</v>
      </c>
      <c r="Q182" s="117"/>
      <c r="R182" s="238">
        <v>250</v>
      </c>
      <c r="S182" s="238">
        <v>125</v>
      </c>
      <c r="T182" s="114"/>
      <c r="U182" s="118">
        <v>350</v>
      </c>
      <c r="V182" s="118">
        <v>100</v>
      </c>
      <c r="W182" s="150" t="s">
        <v>383</v>
      </c>
      <c r="X182" s="150" t="s">
        <v>392</v>
      </c>
    </row>
    <row r="183" spans="1:24" x14ac:dyDescent="0.25">
      <c r="A183" s="113">
        <v>290000</v>
      </c>
      <c r="B183" s="129" t="s">
        <v>452</v>
      </c>
      <c r="C183" s="22"/>
      <c r="D183" s="23" t="str">
        <f t="shared" si="34"/>
        <v/>
      </c>
      <c r="E183" s="23" t="str">
        <f t="shared" si="54"/>
        <v/>
      </c>
      <c r="F183" s="23" t="str">
        <f t="shared" si="40"/>
        <v/>
      </c>
      <c r="G183" s="23" t="str">
        <f t="shared" si="39"/>
        <v/>
      </c>
      <c r="H183" s="231"/>
      <c r="I183" s="231"/>
      <c r="J183" s="114"/>
      <c r="K183" s="115">
        <f>298130</f>
        <v>298130</v>
      </c>
      <c r="L183" s="115">
        <f>290000</f>
        <v>290000</v>
      </c>
      <c r="M183" s="115">
        <f>292710+1200</f>
        <v>293910</v>
      </c>
      <c r="N183" s="115">
        <f>295420+1200</f>
        <v>296620</v>
      </c>
      <c r="O183" s="115">
        <f>298130+1100</f>
        <v>299230</v>
      </c>
      <c r="P183" s="116">
        <v>2.17</v>
      </c>
      <c r="Q183" s="117"/>
      <c r="R183" s="238">
        <v>250</v>
      </c>
      <c r="S183" s="238">
        <v>125</v>
      </c>
      <c r="T183" s="114"/>
      <c r="U183" s="118">
        <v>350</v>
      </c>
      <c r="V183" s="118">
        <v>100</v>
      </c>
      <c r="W183" s="150" t="s">
        <v>451</v>
      </c>
      <c r="X183" s="150" t="s">
        <v>453</v>
      </c>
    </row>
    <row r="184" spans="1:24" x14ac:dyDescent="0.25">
      <c r="A184" s="113">
        <v>296000</v>
      </c>
      <c r="B184" s="129" t="s">
        <v>363</v>
      </c>
      <c r="C184" s="22"/>
      <c r="D184" s="23" t="str">
        <f t="shared" si="34"/>
        <v/>
      </c>
      <c r="E184" s="23" t="str">
        <f>IF(C184&gt;=1,(K184-C184)*(1+P184*$E$4/100)/$E$4+Q184+S184,"")</f>
        <v/>
      </c>
      <c r="F184" s="23" t="str">
        <f t="shared" si="40"/>
        <v/>
      </c>
      <c r="G184" s="23" t="str">
        <f t="shared" si="39"/>
        <v/>
      </c>
      <c r="H184" s="231"/>
      <c r="I184" s="231"/>
      <c r="J184" s="114"/>
      <c r="K184" s="115">
        <v>304310</v>
      </c>
      <c r="L184" s="115">
        <f>296000</f>
        <v>296000</v>
      </c>
      <c r="M184" s="115">
        <f>298770+1200</f>
        <v>299970</v>
      </c>
      <c r="N184" s="115">
        <f>301540+1200</f>
        <v>302740</v>
      </c>
      <c r="O184" s="115">
        <f>304310+1100</f>
        <v>305410</v>
      </c>
      <c r="P184" s="116">
        <v>2.17</v>
      </c>
      <c r="Q184" s="117"/>
      <c r="R184" s="238">
        <v>250</v>
      </c>
      <c r="S184" s="238">
        <v>125</v>
      </c>
      <c r="T184" s="114"/>
      <c r="U184" s="118">
        <v>350</v>
      </c>
      <c r="V184" s="118">
        <v>100</v>
      </c>
      <c r="W184" s="150" t="s">
        <v>383</v>
      </c>
      <c r="X184" s="150" t="s">
        <v>393</v>
      </c>
    </row>
    <row r="185" spans="1:24" x14ac:dyDescent="0.25">
      <c r="A185" s="113">
        <v>291000</v>
      </c>
      <c r="B185" s="129" t="s">
        <v>599</v>
      </c>
      <c r="C185" s="22"/>
      <c r="D185" s="23" t="str">
        <f t="shared" si="34"/>
        <v/>
      </c>
      <c r="E185" s="23" t="str">
        <f>IF(C185&gt;=1,(K185-C185)*(1+P185*$E$4/100)/$E$4+Q185+S185,"")</f>
        <v/>
      </c>
      <c r="F185" s="23" t="str">
        <f t="shared" si="40"/>
        <v/>
      </c>
      <c r="G185" s="23" t="str">
        <f t="shared" si="39"/>
        <v/>
      </c>
      <c r="H185" s="231"/>
      <c r="I185" s="231"/>
      <c r="J185" s="114"/>
      <c r="K185" s="115">
        <f>299130</f>
        <v>299130</v>
      </c>
      <c r="L185" s="115">
        <f>291000</f>
        <v>291000</v>
      </c>
      <c r="M185" s="115">
        <f>293710+1200</f>
        <v>294910</v>
      </c>
      <c r="N185" s="115">
        <f>296420+1200</f>
        <v>297620</v>
      </c>
      <c r="O185" s="115">
        <f>299130+1100</f>
        <v>300230</v>
      </c>
      <c r="P185" s="116">
        <v>2.17</v>
      </c>
      <c r="Q185" s="117"/>
      <c r="R185" s="238">
        <v>250</v>
      </c>
      <c r="S185" s="238">
        <v>125</v>
      </c>
      <c r="T185" s="114"/>
      <c r="U185" s="118">
        <v>350</v>
      </c>
      <c r="V185" s="118">
        <v>100</v>
      </c>
      <c r="W185" s="150" t="s">
        <v>594</v>
      </c>
      <c r="X185" s="150" t="s">
        <v>600</v>
      </c>
    </row>
    <row r="186" spans="1:24" x14ac:dyDescent="0.25">
      <c r="A186" s="113">
        <v>294000</v>
      </c>
      <c r="B186" s="129" t="s">
        <v>682</v>
      </c>
      <c r="C186" s="22">
        <v>160000</v>
      </c>
      <c r="D186" s="23">
        <f t="shared" si="34"/>
        <v>27022.55433333333</v>
      </c>
      <c r="E186" s="23">
        <f>IF(C186&gt;=1,(K186-C186)*(1+P186*$E$4/100)/$E$4+Q186+S186,"")</f>
        <v>15053.387666666667</v>
      </c>
      <c r="F186" s="23">
        <f t="shared" si="40"/>
        <v>11105.332111111111</v>
      </c>
      <c r="G186" s="23">
        <f t="shared" si="39"/>
        <v>9131.3043333333335</v>
      </c>
      <c r="H186" s="231"/>
      <c r="I186" s="231"/>
      <c r="J186" s="114"/>
      <c r="K186" s="115">
        <f>302130</f>
        <v>302130</v>
      </c>
      <c r="L186" s="115">
        <f>294000</f>
        <v>294000</v>
      </c>
      <c r="M186" s="115">
        <f>296710+1200</f>
        <v>297910</v>
      </c>
      <c r="N186" s="115">
        <f>299420+1200</f>
        <v>300620</v>
      </c>
      <c r="O186" s="115">
        <f>302130+1100</f>
        <v>303230</v>
      </c>
      <c r="P186" s="116">
        <v>2.17</v>
      </c>
      <c r="Q186" s="117"/>
      <c r="R186" s="238">
        <v>250</v>
      </c>
      <c r="S186" s="238">
        <v>125</v>
      </c>
      <c r="T186" s="114"/>
      <c r="U186" s="118">
        <v>350</v>
      </c>
      <c r="V186" s="118">
        <v>100</v>
      </c>
      <c r="W186" s="150" t="s">
        <v>674</v>
      </c>
      <c r="X186" s="150" t="s">
        <v>683</v>
      </c>
    </row>
    <row r="187" spans="1:24" x14ac:dyDescent="0.25">
      <c r="A187" s="113">
        <v>149000</v>
      </c>
      <c r="B187" s="27" t="s">
        <v>181</v>
      </c>
      <c r="C187" s="22"/>
      <c r="D187" s="23" t="str">
        <f t="shared" si="34"/>
        <v/>
      </c>
      <c r="E187" s="23" t="str">
        <f>IF(C187&gt;=1,(K187-C187)*(1+P187*$E$4/100)/$E$4+Q187+S187,"")</f>
        <v/>
      </c>
      <c r="F187" s="23" t="str">
        <f t="shared" si="40"/>
        <v/>
      </c>
      <c r="G187" s="23" t="str">
        <f t="shared" si="39"/>
        <v/>
      </c>
      <c r="H187" s="23" t="str">
        <f t="shared" si="37"/>
        <v/>
      </c>
      <c r="I187" s="23" t="str">
        <f t="shared" si="38"/>
        <v/>
      </c>
      <c r="J187" s="114"/>
      <c r="K187" s="115">
        <v>153470</v>
      </c>
      <c r="L187" s="115">
        <v>149000</v>
      </c>
      <c r="M187" s="115">
        <f>150490+1200</f>
        <v>151690</v>
      </c>
      <c r="N187" s="115">
        <f>151980+1200</f>
        <v>153180</v>
      </c>
      <c r="O187" s="115">
        <f>153470+1100</f>
        <v>154570</v>
      </c>
      <c r="P187" s="116">
        <v>2.17</v>
      </c>
      <c r="Q187" s="117"/>
      <c r="R187" s="238">
        <v>250</v>
      </c>
      <c r="S187" s="238">
        <v>125</v>
      </c>
      <c r="T187" s="114"/>
      <c r="U187" s="118">
        <v>200</v>
      </c>
      <c r="V187" s="118">
        <v>100</v>
      </c>
      <c r="W187" s="150" t="s">
        <v>178</v>
      </c>
      <c r="X187" s="150"/>
    </row>
    <row r="188" spans="1:24" x14ac:dyDescent="0.25">
      <c r="A188" s="113">
        <v>150000</v>
      </c>
      <c r="B188" s="27" t="s">
        <v>105</v>
      </c>
      <c r="C188" s="22"/>
      <c r="D188" s="23" t="str">
        <f t="shared" si="34"/>
        <v/>
      </c>
      <c r="E188" s="23" t="str">
        <f t="shared" ref="E188:E194" si="55">IF(C188&gt;=1,(K188-C188)*(1+P188*$E$4/100)/$E$4+Q188+S188,"")</f>
        <v/>
      </c>
      <c r="F188" s="23" t="str">
        <f t="shared" si="40"/>
        <v/>
      </c>
      <c r="G188" s="23" t="str">
        <f t="shared" si="39"/>
        <v/>
      </c>
      <c r="H188" s="23" t="str">
        <f t="shared" si="37"/>
        <v/>
      </c>
      <c r="I188" s="23" t="str">
        <f t="shared" si="38"/>
        <v/>
      </c>
      <c r="J188" s="114"/>
      <c r="K188" s="115">
        <v>154470</v>
      </c>
      <c r="L188" s="115">
        <v>150000</v>
      </c>
      <c r="M188" s="115">
        <f>152450+1200</f>
        <v>153650</v>
      </c>
      <c r="N188" s="115">
        <f>153940+1200</f>
        <v>155140</v>
      </c>
      <c r="O188" s="115">
        <f>155330+1100</f>
        <v>156430</v>
      </c>
      <c r="P188" s="116">
        <v>2.17</v>
      </c>
      <c r="Q188" s="117"/>
      <c r="R188" s="238">
        <v>250</v>
      </c>
      <c r="S188" s="238">
        <v>125</v>
      </c>
      <c r="T188" s="114"/>
      <c r="U188" s="118">
        <v>200</v>
      </c>
      <c r="V188" s="118">
        <v>100</v>
      </c>
      <c r="W188" s="119"/>
      <c r="X188" s="119"/>
    </row>
    <row r="189" spans="1:24" x14ac:dyDescent="0.25">
      <c r="A189" s="113">
        <v>164000</v>
      </c>
      <c r="B189" s="27" t="s">
        <v>282</v>
      </c>
      <c r="C189" s="22"/>
      <c r="D189" s="23" t="str">
        <f t="shared" si="34"/>
        <v/>
      </c>
      <c r="E189" s="23" t="str">
        <f t="shared" si="55"/>
        <v/>
      </c>
      <c r="F189" s="23" t="str">
        <f t="shared" si="40"/>
        <v/>
      </c>
      <c r="G189" s="23" t="str">
        <f t="shared" si="39"/>
        <v/>
      </c>
      <c r="H189" s="23" t="str">
        <f t="shared" si="37"/>
        <v/>
      </c>
      <c r="I189" s="23" t="str">
        <f t="shared" si="38"/>
        <v/>
      </c>
      <c r="J189" s="114"/>
      <c r="K189" s="115">
        <v>167679</v>
      </c>
      <c r="L189" s="115">
        <v>164000</v>
      </c>
      <c r="M189" s="115">
        <f>166186+1200</f>
        <v>167386</v>
      </c>
      <c r="N189" s="115">
        <f>167412+1200</f>
        <v>168612</v>
      </c>
      <c r="O189" s="115">
        <f>168539+1100</f>
        <v>169639</v>
      </c>
      <c r="P189" s="116">
        <v>2.17</v>
      </c>
      <c r="Q189" s="117"/>
      <c r="R189" s="238">
        <v>250</v>
      </c>
      <c r="S189" s="238">
        <v>125</v>
      </c>
      <c r="T189" s="114"/>
      <c r="U189" s="118">
        <v>200</v>
      </c>
      <c r="V189" s="118">
        <v>100</v>
      </c>
      <c r="W189" s="150" t="s">
        <v>283</v>
      </c>
      <c r="X189" s="150" t="s">
        <v>284</v>
      </c>
    </row>
    <row r="190" spans="1:24" x14ac:dyDescent="0.25">
      <c r="A190" s="113">
        <v>167000</v>
      </c>
      <c r="B190" s="27" t="s">
        <v>141</v>
      </c>
      <c r="C190" s="22"/>
      <c r="D190" s="23" t="str">
        <f t="shared" si="34"/>
        <v/>
      </c>
      <c r="E190" s="23" t="str">
        <f t="shared" si="55"/>
        <v/>
      </c>
      <c r="F190" s="23" t="str">
        <f t="shared" si="40"/>
        <v/>
      </c>
      <c r="G190" s="23" t="str">
        <f t="shared" si="39"/>
        <v/>
      </c>
      <c r="H190" s="23" t="str">
        <f t="shared" si="37"/>
        <v/>
      </c>
      <c r="I190" s="23" t="str">
        <f t="shared" si="38"/>
        <v/>
      </c>
      <c r="J190" s="114"/>
      <c r="K190" s="115">
        <v>170654</v>
      </c>
      <c r="L190" s="115">
        <v>167000</v>
      </c>
      <c r="M190" s="115">
        <f>167178+240</f>
        <v>167418</v>
      </c>
      <c r="N190" s="115">
        <f>170396+240</f>
        <v>170636</v>
      </c>
      <c r="O190" s="115">
        <f>171514+240</f>
        <v>171754</v>
      </c>
      <c r="P190" s="116">
        <v>2.17</v>
      </c>
      <c r="Q190" s="117"/>
      <c r="R190" s="238">
        <v>250</v>
      </c>
      <c r="S190" s="238">
        <v>125</v>
      </c>
      <c r="T190" s="114"/>
      <c r="U190" s="118">
        <v>200</v>
      </c>
      <c r="V190" s="118">
        <v>100</v>
      </c>
      <c r="W190" s="119"/>
      <c r="X190" s="119"/>
    </row>
    <row r="191" spans="1:24" x14ac:dyDescent="0.25">
      <c r="A191" s="113">
        <v>169000</v>
      </c>
      <c r="B191" s="129" t="s">
        <v>184</v>
      </c>
      <c r="C191" s="22"/>
      <c r="D191" s="23" t="str">
        <f t="shared" si="34"/>
        <v/>
      </c>
      <c r="E191" s="23" t="str">
        <f t="shared" si="55"/>
        <v/>
      </c>
      <c r="F191" s="23" t="str">
        <f t="shared" si="40"/>
        <v/>
      </c>
      <c r="G191" s="23" t="str">
        <f t="shared" si="39"/>
        <v/>
      </c>
      <c r="H191" s="23" t="str">
        <f t="shared" si="37"/>
        <v/>
      </c>
      <c r="I191" s="23" t="str">
        <f t="shared" si="38"/>
        <v/>
      </c>
      <c r="J191" s="114"/>
      <c r="K191" s="115">
        <v>172654</v>
      </c>
      <c r="L191" s="115">
        <v>169000</v>
      </c>
      <c r="M191" s="115">
        <f>170218+1200</f>
        <v>171418</v>
      </c>
      <c r="N191" s="115">
        <f>171436+1200</f>
        <v>172636</v>
      </c>
      <c r="O191" s="115">
        <f>172654+1100</f>
        <v>173754</v>
      </c>
      <c r="P191" s="116">
        <v>2.17</v>
      </c>
      <c r="Q191" s="117"/>
      <c r="R191" s="238">
        <v>250</v>
      </c>
      <c r="S191" s="238">
        <v>125</v>
      </c>
      <c r="T191" s="114"/>
      <c r="U191" s="118">
        <v>200</v>
      </c>
      <c r="V191" s="118">
        <v>100</v>
      </c>
      <c r="W191" s="150" t="s">
        <v>182</v>
      </c>
      <c r="X191" s="150"/>
    </row>
    <row r="192" spans="1:24" x14ac:dyDescent="0.25">
      <c r="A192" s="113">
        <v>203000</v>
      </c>
      <c r="B192" s="129" t="s">
        <v>366</v>
      </c>
      <c r="C192" s="22"/>
      <c r="D192" s="23" t="str">
        <f t="shared" si="34"/>
        <v/>
      </c>
      <c r="E192" s="23" t="str">
        <f t="shared" si="55"/>
        <v/>
      </c>
      <c r="F192" s="23" t="str">
        <f t="shared" si="40"/>
        <v/>
      </c>
      <c r="G192" s="23" t="str">
        <f t="shared" si="39"/>
        <v/>
      </c>
      <c r="H192" s="23" t="str">
        <f t="shared" si="37"/>
        <v/>
      </c>
      <c r="I192" s="23" t="str">
        <f t="shared" si="38"/>
        <v/>
      </c>
      <c r="J192" s="114"/>
      <c r="K192" s="115">
        <f>205744</f>
        <v>205744</v>
      </c>
      <c r="L192" s="115">
        <f>203000</f>
        <v>203000</v>
      </c>
      <c r="M192" s="115">
        <f>203914+1200</f>
        <v>205114</v>
      </c>
      <c r="N192" s="115">
        <f>204829+1200</f>
        <v>206029</v>
      </c>
      <c r="O192" s="115">
        <f>205744+1100</f>
        <v>206844</v>
      </c>
      <c r="P192" s="116">
        <v>2.17</v>
      </c>
      <c r="Q192" s="117"/>
      <c r="R192" s="238">
        <v>250</v>
      </c>
      <c r="S192" s="238">
        <v>125</v>
      </c>
      <c r="T192" s="114"/>
      <c r="U192" s="118">
        <v>350</v>
      </c>
      <c r="V192" s="118">
        <v>100</v>
      </c>
      <c r="W192" s="150" t="s">
        <v>443</v>
      </c>
      <c r="X192" s="150" t="s">
        <v>448</v>
      </c>
    </row>
    <row r="193" spans="1:24" x14ac:dyDescent="0.25">
      <c r="A193" s="113">
        <v>199000</v>
      </c>
      <c r="B193" s="129" t="s">
        <v>367</v>
      </c>
      <c r="C193" s="22"/>
      <c r="D193" s="23" t="str">
        <f t="shared" ref="D193:D194" si="56">IF(C193&gt;=1,(K193-C193)*(1+P193*$D$4/100)/$D$4+Q193+R193,"")</f>
        <v/>
      </c>
      <c r="E193" s="23" t="str">
        <f t="shared" si="55"/>
        <v/>
      </c>
      <c r="F193" s="23" t="str">
        <f>IF(C193&gt;=1,(K193-C193)*(1+$P193*$F$4/100)/$F$4+Q193+S193, "")</f>
        <v/>
      </c>
      <c r="G193" s="23" t="str">
        <f t="shared" si="39"/>
        <v/>
      </c>
      <c r="H193" s="23" t="str">
        <f t="shared" ref="H193:H194" si="57">IF(C193&gt;=1, (K193-C193)*(1+$P193*$H$4/100)/$H$4+Q193+S193, "")</f>
        <v/>
      </c>
      <c r="I193" s="23" t="str">
        <f t="shared" ref="I193:I194" si="58">IF(C193&gt;=1, (K193-C193)*(1+$P193*$I$4/100)/$I$4+Q193+S193, "")</f>
        <v/>
      </c>
      <c r="J193" s="114"/>
      <c r="K193" s="115">
        <v>200812</v>
      </c>
      <c r="L193" s="115">
        <v>199000</v>
      </c>
      <c r="M193" s="115">
        <f>199604+1200</f>
        <v>200804</v>
      </c>
      <c r="N193" s="115">
        <f>200208+1200</f>
        <v>201408</v>
      </c>
      <c r="O193" s="115">
        <f>200812+1100</f>
        <v>201912</v>
      </c>
      <c r="P193" s="116">
        <v>2.17</v>
      </c>
      <c r="Q193" s="117"/>
      <c r="R193" s="238">
        <v>250</v>
      </c>
      <c r="S193" s="238">
        <v>125</v>
      </c>
      <c r="T193" s="114"/>
      <c r="U193" s="118">
        <v>200</v>
      </c>
      <c r="V193" s="118">
        <v>100</v>
      </c>
      <c r="W193" s="150" t="s">
        <v>383</v>
      </c>
      <c r="X193" s="150" t="s">
        <v>394</v>
      </c>
    </row>
    <row r="194" spans="1:24" x14ac:dyDescent="0.25">
      <c r="A194" s="113">
        <v>204000</v>
      </c>
      <c r="B194" s="129" t="s">
        <v>724</v>
      </c>
      <c r="C194" s="22"/>
      <c r="D194" s="23" t="str">
        <f t="shared" si="56"/>
        <v/>
      </c>
      <c r="E194" s="23" t="str">
        <f t="shared" si="55"/>
        <v/>
      </c>
      <c r="F194" s="23" t="str">
        <f>IF(C194&gt;=1,(K194-C194)*(1+$P194*$F$4/100)/$F$4+Q194+S194, "")</f>
        <v/>
      </c>
      <c r="G194" s="23" t="str">
        <f t="shared" ref="G194" si="59">IF(C194&gt;=1, (K194-C194)*(1+$P194*$G$4/100)/$G$4+Q194+S194,"")</f>
        <v/>
      </c>
      <c r="H194" s="23" t="str">
        <f t="shared" si="57"/>
        <v/>
      </c>
      <c r="I194" s="23" t="str">
        <f t="shared" si="58"/>
        <v/>
      </c>
      <c r="J194" s="114"/>
      <c r="K194" s="115">
        <v>206431</v>
      </c>
      <c r="L194" s="115">
        <v>204000</v>
      </c>
      <c r="M194" s="115">
        <f>204810+1200</f>
        <v>206010</v>
      </c>
      <c r="N194" s="115">
        <f>205621+1200</f>
        <v>206821</v>
      </c>
      <c r="O194" s="115">
        <f>206431+1100</f>
        <v>207531</v>
      </c>
      <c r="P194" s="116">
        <v>2.17</v>
      </c>
      <c r="Q194" s="117"/>
      <c r="R194" s="238">
        <v>250</v>
      </c>
      <c r="S194" s="238">
        <v>125</v>
      </c>
      <c r="T194" s="114"/>
      <c r="U194" s="118">
        <v>200</v>
      </c>
      <c r="V194" s="118">
        <v>100</v>
      </c>
      <c r="W194" s="150" t="s">
        <v>725</v>
      </c>
      <c r="X194" s="150" t="s">
        <v>726</v>
      </c>
    </row>
    <row r="195" spans="1:24" ht="15" customHeight="1" x14ac:dyDescent="0.25">
      <c r="A195" s="97"/>
      <c r="B195" s="198" t="s">
        <v>206</v>
      </c>
      <c r="C195" s="264" t="s">
        <v>281</v>
      </c>
      <c r="D195" s="265"/>
      <c r="E195" s="265"/>
      <c r="F195" s="265"/>
      <c r="G195" s="265"/>
      <c r="H195" s="265"/>
      <c r="I195" s="265"/>
      <c r="J195" s="114"/>
      <c r="K195" s="266" t="s">
        <v>211</v>
      </c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</row>
    <row r="196" spans="1:24" x14ac:dyDescent="0.25">
      <c r="A196" s="113">
        <v>262000</v>
      </c>
      <c r="B196" s="129" t="s">
        <v>210</v>
      </c>
      <c r="C196" s="22"/>
      <c r="D196" s="23" t="str">
        <f>IF(C196&gt;=1,(K196-C196)*(1+P196*$D$4/100)/$D$4+Q196+R196,"")</f>
        <v/>
      </c>
      <c r="E196" s="23" t="str">
        <f>IF(C196&gt;=1,(K196-C196)*(1+P196*$E$4/100)/$E$4+Q196+S196,"")</f>
        <v/>
      </c>
      <c r="F196" s="23" t="str">
        <f>IF(C196&gt;=1,(K196-C196)*(1+$P196*$F$4/100)/$F$4+Q196+S196, "")</f>
        <v/>
      </c>
      <c r="G196" s="23" t="str">
        <f>IF(C196&gt;=1, (K196-C196)*(1+$P196*$G$4/100)/$G$4+Q196+S196,"")</f>
        <v/>
      </c>
      <c r="H196" s="231"/>
      <c r="I196" s="231"/>
      <c r="J196" s="114"/>
      <c r="K196" s="115">
        <v>268228</v>
      </c>
      <c r="L196" s="115">
        <v>262000</v>
      </c>
      <c r="M196" s="115">
        <f>264076+1200</f>
        <v>265276</v>
      </c>
      <c r="N196" s="115">
        <f>266152+1200</f>
        <v>267352</v>
      </c>
      <c r="O196" s="115">
        <f>268228+1100</f>
        <v>269328</v>
      </c>
      <c r="P196" s="116">
        <v>2.17</v>
      </c>
      <c r="Q196" s="117"/>
      <c r="R196" s="238">
        <v>250</v>
      </c>
      <c r="S196" s="238">
        <v>125</v>
      </c>
      <c r="T196" s="114"/>
      <c r="U196" s="118">
        <v>350</v>
      </c>
      <c r="V196" s="118">
        <v>100</v>
      </c>
      <c r="W196" s="150" t="s">
        <v>208</v>
      </c>
      <c r="X196" s="150" t="s">
        <v>212</v>
      </c>
    </row>
    <row r="197" spans="1:24" x14ac:dyDescent="0.25">
      <c r="A197" s="113">
        <v>166000</v>
      </c>
      <c r="B197" s="129" t="s">
        <v>213</v>
      </c>
      <c r="C197" s="22"/>
      <c r="D197" s="23" t="str">
        <f t="shared" ref="D197:D201" si="60">IF(C197&gt;=1,(K197-C197)*(1+P197*$D$4/100)/$D$4+Q197+R197,"")</f>
        <v/>
      </c>
      <c r="E197" s="23" t="str">
        <f t="shared" ref="E197:E201" si="61">IF(C197&gt;=1,(K197-C197)*(1+P197*$E$4/100)/$E$4+Q197+S197,"")</f>
        <v/>
      </c>
      <c r="F197" s="23" t="str">
        <f t="shared" ref="F197:F201" si="62">IF(C197&gt;=1,(K197-C197)*(1+$P197*$F$4/100)/$F$4+Q197+S197, "")</f>
        <v/>
      </c>
      <c r="G197" s="23" t="str">
        <f t="shared" ref="G197:G201" si="63">IF(C197&gt;=1, (K197-C197)*(1+$P197*$G$4/100)/$G$4+Q197+S197,"")</f>
        <v/>
      </c>
      <c r="H197" s="23" t="str">
        <f>IF(C197&gt;=1, (K197-C197)*(1+$P197*$H$4/100)/$H$4+Q197+S197, "")</f>
        <v/>
      </c>
      <c r="I197" s="23" t="str">
        <f>IF(C197&gt;=1, (K197-C197)*(1+$P197*$I$4/100)/$I$4+Q197+S197, "")</f>
        <v/>
      </c>
      <c r="J197" s="114"/>
      <c r="K197" s="115">
        <v>169679</v>
      </c>
      <c r="L197" s="115">
        <v>166000</v>
      </c>
      <c r="M197" s="115">
        <f>167226+1200</f>
        <v>168426</v>
      </c>
      <c r="N197" s="115">
        <f>168452+1200</f>
        <v>169652</v>
      </c>
      <c r="O197" s="115">
        <f>169679+1100</f>
        <v>170779</v>
      </c>
      <c r="P197" s="116">
        <v>2.17</v>
      </c>
      <c r="Q197" s="117"/>
      <c r="R197" s="238">
        <v>250</v>
      </c>
      <c r="S197" s="238">
        <v>125</v>
      </c>
      <c r="T197" s="114"/>
      <c r="U197" s="118">
        <v>200</v>
      </c>
      <c r="V197" s="118">
        <v>100</v>
      </c>
      <c r="W197" s="150" t="s">
        <v>208</v>
      </c>
      <c r="X197" s="150" t="s">
        <v>214</v>
      </c>
    </row>
    <row r="198" spans="1:24" s="128" customFormat="1" x14ac:dyDescent="0.25">
      <c r="A198" s="113">
        <v>104900</v>
      </c>
      <c r="B198" s="199" t="s">
        <v>215</v>
      </c>
      <c r="C198" s="22"/>
      <c r="D198" s="23" t="str">
        <f t="shared" si="60"/>
        <v/>
      </c>
      <c r="E198" s="23" t="str">
        <f t="shared" si="61"/>
        <v/>
      </c>
      <c r="F198" s="23" t="str">
        <f t="shared" si="62"/>
        <v/>
      </c>
      <c r="G198" s="23" t="str">
        <f t="shared" si="63"/>
        <v/>
      </c>
      <c r="H198" s="23" t="str">
        <f t="shared" ref="H198:H201" si="64">IF(C198&gt;=1, (K198-C198)*(1+$P198*$H$4/100)/$H$4+Q198+S198, "")</f>
        <v/>
      </c>
      <c r="I198" s="23" t="str">
        <f t="shared" ref="I198:I201" si="65">IF(C198&gt;=1, (K198-C198)*(1+$P198*$I$4/100)/$I$4+Q198+S198, "")</f>
        <v/>
      </c>
      <c r="J198" s="114"/>
      <c r="K198" s="115">
        <v>108657</v>
      </c>
      <c r="L198" s="115">
        <v>104900</v>
      </c>
      <c r="M198" s="115">
        <f>106152+1200</f>
        <v>107352</v>
      </c>
      <c r="N198" s="115">
        <f>107404+960</f>
        <v>108364</v>
      </c>
      <c r="O198" s="115">
        <f>108657+1100</f>
        <v>109757</v>
      </c>
      <c r="P198" s="116">
        <v>2.17</v>
      </c>
      <c r="Q198" s="117"/>
      <c r="R198" s="238">
        <v>250</v>
      </c>
      <c r="S198" s="238">
        <v>125</v>
      </c>
      <c r="T198" s="114"/>
      <c r="U198" s="118">
        <v>200</v>
      </c>
      <c r="V198" s="118">
        <v>100</v>
      </c>
      <c r="W198" s="150" t="s">
        <v>203</v>
      </c>
      <c r="X198" s="150" t="s">
        <v>204</v>
      </c>
    </row>
    <row r="199" spans="1:24" s="128" customFormat="1" x14ac:dyDescent="0.25">
      <c r="A199" s="113">
        <v>123400</v>
      </c>
      <c r="B199" s="199" t="s">
        <v>350</v>
      </c>
      <c r="C199" s="22"/>
      <c r="D199" s="23" t="str">
        <f t="shared" si="60"/>
        <v/>
      </c>
      <c r="E199" s="23" t="str">
        <f t="shared" si="61"/>
        <v/>
      </c>
      <c r="F199" s="23" t="str">
        <f t="shared" si="62"/>
        <v/>
      </c>
      <c r="G199" s="23" t="str">
        <f t="shared" si="63"/>
        <v/>
      </c>
      <c r="H199" s="23" t="str">
        <f t="shared" si="64"/>
        <v/>
      </c>
      <c r="I199" s="23" t="str">
        <f t="shared" si="65"/>
        <v/>
      </c>
      <c r="J199" s="114"/>
      <c r="K199" s="115">
        <v>124921</v>
      </c>
      <c r="L199" s="115">
        <v>123400</v>
      </c>
      <c r="M199" s="115">
        <f>123907+1200</f>
        <v>125107</v>
      </c>
      <c r="N199" s="115">
        <f>124414+1200</f>
        <v>125614</v>
      </c>
      <c r="O199" s="115">
        <f>124921+1100</f>
        <v>126021</v>
      </c>
      <c r="P199" s="116">
        <v>2.17</v>
      </c>
      <c r="Q199" s="117"/>
      <c r="R199" s="238">
        <v>250</v>
      </c>
      <c r="S199" s="238">
        <v>125</v>
      </c>
      <c r="T199" s="114"/>
      <c r="U199" s="118">
        <v>200</v>
      </c>
      <c r="V199" s="118">
        <v>100</v>
      </c>
      <c r="W199" s="150" t="s">
        <v>345</v>
      </c>
      <c r="X199" s="150" t="s">
        <v>347</v>
      </c>
    </row>
    <row r="200" spans="1:24" s="128" customFormat="1" x14ac:dyDescent="0.25">
      <c r="A200" s="214">
        <v>104900</v>
      </c>
      <c r="B200" s="215" t="s">
        <v>207</v>
      </c>
      <c r="C200" s="216"/>
      <c r="D200" s="23" t="str">
        <f t="shared" si="60"/>
        <v/>
      </c>
      <c r="E200" s="23" t="str">
        <f t="shared" si="61"/>
        <v/>
      </c>
      <c r="F200" s="23" t="str">
        <f t="shared" si="62"/>
        <v/>
      </c>
      <c r="G200" s="23" t="str">
        <f t="shared" si="63"/>
        <v/>
      </c>
      <c r="H200" s="23" t="str">
        <f t="shared" si="64"/>
        <v/>
      </c>
      <c r="I200" s="23" t="str">
        <f t="shared" si="65"/>
        <v/>
      </c>
      <c r="J200" s="114"/>
      <c r="K200" s="217">
        <v>109019</v>
      </c>
      <c r="L200" s="217">
        <v>104900</v>
      </c>
      <c r="M200" s="217">
        <f>106273+1200</f>
        <v>107473</v>
      </c>
      <c r="N200" s="217">
        <f>107646+1200</f>
        <v>108846</v>
      </c>
      <c r="O200" s="217">
        <f>109019+1100</f>
        <v>110119</v>
      </c>
      <c r="P200" s="116">
        <v>2.17</v>
      </c>
      <c r="Q200" s="130"/>
      <c r="R200" s="238">
        <v>250</v>
      </c>
      <c r="S200" s="238">
        <v>125</v>
      </c>
      <c r="T200" s="114"/>
      <c r="U200" s="118">
        <v>200</v>
      </c>
      <c r="V200" s="118">
        <v>100</v>
      </c>
      <c r="W200" s="150" t="s">
        <v>208</v>
      </c>
      <c r="X200" s="150" t="s">
        <v>209</v>
      </c>
    </row>
    <row r="201" spans="1:24" s="128" customFormat="1" x14ac:dyDescent="0.25">
      <c r="A201" s="214">
        <v>135400</v>
      </c>
      <c r="B201" s="215" t="s">
        <v>317</v>
      </c>
      <c r="C201" s="216"/>
      <c r="D201" s="23" t="str">
        <f t="shared" si="60"/>
        <v/>
      </c>
      <c r="E201" s="23" t="str">
        <f t="shared" si="61"/>
        <v/>
      </c>
      <c r="F201" s="23" t="str">
        <f t="shared" si="62"/>
        <v/>
      </c>
      <c r="G201" s="23" t="str">
        <f t="shared" si="63"/>
        <v/>
      </c>
      <c r="H201" s="23" t="str">
        <f t="shared" si="64"/>
        <v/>
      </c>
      <c r="I201" s="23" t="str">
        <f t="shared" si="65"/>
        <v/>
      </c>
      <c r="J201" s="114"/>
      <c r="K201" s="217">
        <v>137354</v>
      </c>
      <c r="L201" s="217">
        <v>135400</v>
      </c>
      <c r="M201" s="217">
        <f>136051+1200</f>
        <v>137251</v>
      </c>
      <c r="N201" s="217">
        <f>136702+1200</f>
        <v>137902</v>
      </c>
      <c r="O201" s="217">
        <f>137354+1100</f>
        <v>138454</v>
      </c>
      <c r="P201" s="116">
        <v>2.17</v>
      </c>
      <c r="Q201" s="130"/>
      <c r="R201" s="238">
        <v>250</v>
      </c>
      <c r="S201" s="238">
        <v>125</v>
      </c>
      <c r="T201" s="114"/>
      <c r="U201" s="118">
        <v>200</v>
      </c>
      <c r="V201" s="118">
        <v>100</v>
      </c>
      <c r="W201" s="150" t="s">
        <v>318</v>
      </c>
      <c r="X201" s="150" t="s">
        <v>319</v>
      </c>
    </row>
    <row r="202" spans="1:24" s="213" customFormat="1" ht="15" customHeight="1" x14ac:dyDescent="0.25">
      <c r="A202" s="218"/>
      <c r="B202" s="220" t="s">
        <v>311</v>
      </c>
      <c r="C202" s="268" t="s">
        <v>312</v>
      </c>
      <c r="D202" s="269"/>
      <c r="E202" s="269"/>
      <c r="F202" s="269"/>
      <c r="G202" s="269"/>
      <c r="H202" s="269"/>
      <c r="I202" s="269"/>
      <c r="J202" s="219"/>
      <c r="K202" s="270" t="s">
        <v>311</v>
      </c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2"/>
    </row>
    <row r="203" spans="1:24" s="128" customFormat="1" x14ac:dyDescent="0.25">
      <c r="A203" s="113">
        <v>134900</v>
      </c>
      <c r="B203" s="210" t="s">
        <v>351</v>
      </c>
      <c r="C203" s="22"/>
      <c r="D203" s="23" t="str">
        <f>IF(C203&gt;=1,(K203-C203)*(1+P203*$D$4/100)/$D$4+Q203+R203,"")</f>
        <v/>
      </c>
      <c r="E203" s="23" t="str">
        <f>IF(C203&gt;=1,(K203-C203)*(1+P203*$E$4/100)/$E$4+Q203+S203,"")</f>
        <v/>
      </c>
      <c r="F203" s="23" t="str">
        <f>IF(C203&gt;=1,(K203-C203)*(1+$P203*$F$4/100)/$F$4+Q203+S203, "")</f>
        <v/>
      </c>
      <c r="G203" s="23" t="str">
        <f>IF(C203&gt;=1, (K203-C203)*(1+$P203*$G$4/100)/$G$4+Q203+S203,"")</f>
        <v/>
      </c>
      <c r="H203" s="23" t="str">
        <f>IF(C203&gt;=1, (K203-C203)*(1+$P203*$H$4/100)/$H$4+Q203+S203, "")</f>
        <v/>
      </c>
      <c r="I203" s="23" t="str">
        <f>IF(C203&gt;=1, (K203-C203)*(1+$P203*$I$4/100)/$I$4+Q203+S203, "")</f>
        <v/>
      </c>
      <c r="J203" s="114"/>
      <c r="K203" s="115">
        <v>136854</v>
      </c>
      <c r="L203" s="115">
        <v>134900</v>
      </c>
      <c r="M203" s="115">
        <f>135551+1200</f>
        <v>136751</v>
      </c>
      <c r="N203" s="115">
        <f>136202+1200</f>
        <v>137402</v>
      </c>
      <c r="O203" s="115">
        <f>136854+1100</f>
        <v>137954</v>
      </c>
      <c r="P203" s="116">
        <v>2.17</v>
      </c>
      <c r="Q203" s="130"/>
      <c r="R203" s="238">
        <v>250</v>
      </c>
      <c r="S203" s="238">
        <v>125</v>
      </c>
      <c r="T203" s="114"/>
      <c r="U203" s="118">
        <v>200</v>
      </c>
      <c r="V203" s="118">
        <v>100</v>
      </c>
      <c r="W203" s="150" t="s">
        <v>340</v>
      </c>
      <c r="X203" s="150" t="s">
        <v>341</v>
      </c>
    </row>
    <row r="204" spans="1:24" s="128" customFormat="1" x14ac:dyDescent="0.25">
      <c r="A204" s="113">
        <v>140400</v>
      </c>
      <c r="B204" s="210" t="s">
        <v>378</v>
      </c>
      <c r="C204" s="22"/>
      <c r="D204" s="23" t="str">
        <f t="shared" ref="D204:D208" si="66">IF(C204&gt;=1,(K204-C204)*(1+P204*$D$4/100)/$D$4+Q204+R204,"")</f>
        <v/>
      </c>
      <c r="E204" s="23" t="str">
        <f>IF(C204&gt;=1,(K204-C204)*(1+P204*$E$4/100)/$E$4+Q204+S204,"")</f>
        <v/>
      </c>
      <c r="F204" s="23" t="str">
        <f t="shared" ref="F204:F207" si="67">IF(C204&gt;=1,(K204-C204)*(1+$P204*$F$4/100)/$F$4+Q204+S204, "")</f>
        <v/>
      </c>
      <c r="G204" s="23" t="str">
        <f t="shared" ref="G204:G208" si="68">IF(C204&gt;=1, (K204-C204)*(1+$P204*$G$4/100)/$G$4+Q204+S204,"")</f>
        <v/>
      </c>
      <c r="H204" s="23" t="str">
        <f t="shared" ref="H204:H208" si="69">IF(C204&gt;=1, (K204-C204)*(1+$P204*$H$4/100)/$H$4+Q204+S204, "")</f>
        <v/>
      </c>
      <c r="I204" s="23" t="str">
        <f t="shared" ref="I204:I208" si="70">IF(C204&gt;=1, (K204-C204)*(1+$P204*$I$4/100)/$I$4+Q204+S204, "")</f>
        <v/>
      </c>
      <c r="J204" s="114"/>
      <c r="K204" s="115">
        <v>142354</v>
      </c>
      <c r="L204" s="115">
        <v>140400</v>
      </c>
      <c r="M204" s="115">
        <f>141051+1200</f>
        <v>142251</v>
      </c>
      <c r="N204" s="115">
        <f>141702+1200</f>
        <v>142902</v>
      </c>
      <c r="O204" s="115">
        <f>142354+1100</f>
        <v>143454</v>
      </c>
      <c r="P204" s="116">
        <v>2.17</v>
      </c>
      <c r="Q204" s="130"/>
      <c r="R204" s="238">
        <v>250</v>
      </c>
      <c r="S204" s="238">
        <v>125</v>
      </c>
      <c r="T204" s="114"/>
      <c r="U204" s="118">
        <v>200</v>
      </c>
      <c r="V204" s="118">
        <v>100</v>
      </c>
      <c r="W204" s="150" t="s">
        <v>380</v>
      </c>
      <c r="X204" s="150" t="s">
        <v>382</v>
      </c>
    </row>
    <row r="205" spans="1:24" s="128" customFormat="1" x14ac:dyDescent="0.25">
      <c r="A205" s="113">
        <v>93900</v>
      </c>
      <c r="B205" s="210" t="s">
        <v>314</v>
      </c>
      <c r="C205" s="22"/>
      <c r="D205" s="23" t="str">
        <f t="shared" si="66"/>
        <v/>
      </c>
      <c r="E205" s="23" t="str">
        <f t="shared" ref="E205:E208" si="71">IF(C205&gt;=1,(K205-C205)*(1+P205*$E$4/100)/$E$4+Q205+S205,"")</f>
        <v/>
      </c>
      <c r="F205" s="23" t="str">
        <f t="shared" si="67"/>
        <v/>
      </c>
      <c r="G205" s="23" t="str">
        <f t="shared" si="68"/>
        <v/>
      </c>
      <c r="H205" s="23" t="str">
        <f t="shared" si="69"/>
        <v/>
      </c>
      <c r="I205" s="23" t="str">
        <f t="shared" si="70"/>
        <v/>
      </c>
      <c r="J205" s="114"/>
      <c r="K205" s="115">
        <f>95339</f>
        <v>95339</v>
      </c>
      <c r="L205" s="115">
        <f>93900</f>
        <v>93900</v>
      </c>
      <c r="M205" s="115">
        <f>94379+1200</f>
        <v>95579</v>
      </c>
      <c r="N205" s="115">
        <f>94859+1200</f>
        <v>96059</v>
      </c>
      <c r="O205" s="115">
        <f>95339+1100</f>
        <v>96439</v>
      </c>
      <c r="P205" s="116">
        <v>2.17</v>
      </c>
      <c r="Q205" s="130"/>
      <c r="R205" s="238">
        <v>250</v>
      </c>
      <c r="S205" s="238">
        <v>125</v>
      </c>
      <c r="T205" s="114"/>
      <c r="U205" s="118">
        <v>200</v>
      </c>
      <c r="V205" s="118">
        <v>100</v>
      </c>
      <c r="W205" s="150" t="s">
        <v>467</v>
      </c>
      <c r="X205" s="150" t="s">
        <v>469</v>
      </c>
    </row>
    <row r="206" spans="1:24" s="128" customFormat="1" x14ac:dyDescent="0.25">
      <c r="A206" s="120">
        <v>71400</v>
      </c>
      <c r="B206" s="210" t="s">
        <v>316</v>
      </c>
      <c r="C206" s="22"/>
      <c r="D206" s="23" t="str">
        <f t="shared" si="66"/>
        <v/>
      </c>
      <c r="E206" s="23" t="str">
        <f t="shared" si="71"/>
        <v/>
      </c>
      <c r="F206" s="23" t="str">
        <f t="shared" si="67"/>
        <v/>
      </c>
      <c r="G206" s="23" t="str">
        <f t="shared" si="68"/>
        <v/>
      </c>
      <c r="H206" s="23" t="str">
        <f t="shared" si="69"/>
        <v/>
      </c>
      <c r="I206" s="23" t="str">
        <f t="shared" si="70"/>
        <v/>
      </c>
      <c r="J206" s="121"/>
      <c r="K206" s="115">
        <f>73100</f>
        <v>73100</v>
      </c>
      <c r="L206" s="122">
        <f>72100</f>
        <v>72100</v>
      </c>
      <c r="M206" s="115">
        <f>72433+1200</f>
        <v>73633</v>
      </c>
      <c r="N206" s="115">
        <f>72766+1200</f>
        <v>73966</v>
      </c>
      <c r="O206" s="115">
        <f>73100+1100</f>
        <v>74200</v>
      </c>
      <c r="P206" s="123">
        <v>2.17</v>
      </c>
      <c r="Q206" s="124"/>
      <c r="R206" s="238">
        <v>250</v>
      </c>
      <c r="S206" s="238">
        <v>125</v>
      </c>
      <c r="T206" s="121"/>
      <c r="U206" s="125">
        <v>200</v>
      </c>
      <c r="V206" s="125">
        <v>50</v>
      </c>
      <c r="W206" s="127" t="s">
        <v>383</v>
      </c>
      <c r="X206" s="150" t="s">
        <v>386</v>
      </c>
    </row>
    <row r="207" spans="1:24" x14ac:dyDescent="0.25">
      <c r="A207" s="120">
        <v>85900</v>
      </c>
      <c r="B207" s="210" t="s">
        <v>352</v>
      </c>
      <c r="C207" s="22"/>
      <c r="D207" s="23" t="str">
        <f t="shared" si="66"/>
        <v/>
      </c>
      <c r="E207" s="23" t="str">
        <f t="shared" si="71"/>
        <v/>
      </c>
      <c r="F207" s="23" t="str">
        <f t="shared" si="67"/>
        <v/>
      </c>
      <c r="G207" s="23" t="str">
        <f t="shared" si="68"/>
        <v/>
      </c>
      <c r="H207" s="23" t="str">
        <f t="shared" si="69"/>
        <v/>
      </c>
      <c r="I207" s="23" t="str">
        <f t="shared" si="70"/>
        <v/>
      </c>
      <c r="J207" s="121"/>
      <c r="K207" s="122">
        <v>87100</v>
      </c>
      <c r="L207" s="122">
        <v>85900</v>
      </c>
      <c r="M207" s="115">
        <f>86300+1200</f>
        <v>87500</v>
      </c>
      <c r="N207" s="115">
        <f>86700+1200</f>
        <v>87900</v>
      </c>
      <c r="O207" s="115">
        <f>87100+1100</f>
        <v>88200</v>
      </c>
      <c r="P207" s="123">
        <v>2.17</v>
      </c>
      <c r="Q207" s="124"/>
      <c r="R207" s="238">
        <v>250</v>
      </c>
      <c r="S207" s="238">
        <v>125</v>
      </c>
      <c r="T207" s="121"/>
      <c r="U207" s="125">
        <v>200</v>
      </c>
      <c r="V207" s="125">
        <v>100</v>
      </c>
      <c r="W207" s="127" t="s">
        <v>313</v>
      </c>
      <c r="X207" s="150" t="s">
        <v>315</v>
      </c>
    </row>
    <row r="208" spans="1:24" x14ac:dyDescent="0.25">
      <c r="A208" s="120">
        <v>80400</v>
      </c>
      <c r="B208" s="210" t="s">
        <v>330</v>
      </c>
      <c r="C208" s="22"/>
      <c r="D208" s="23" t="str">
        <f t="shared" si="66"/>
        <v/>
      </c>
      <c r="E208" s="23" t="str">
        <f t="shared" si="71"/>
        <v/>
      </c>
      <c r="F208" s="23" t="str">
        <f>IF(C208&gt;=1,(K208-C208)*(1+$P208*$F$4/100)/$F$4+Q208+S208, "")</f>
        <v/>
      </c>
      <c r="G208" s="23" t="str">
        <f t="shared" si="68"/>
        <v/>
      </c>
      <c r="H208" s="23" t="str">
        <f t="shared" si="69"/>
        <v/>
      </c>
      <c r="I208" s="23" t="str">
        <f t="shared" si="70"/>
        <v/>
      </c>
      <c r="J208" s="121"/>
      <c r="K208" s="122">
        <f>81641</f>
        <v>81641</v>
      </c>
      <c r="L208" s="122">
        <f>80400</f>
        <v>80400</v>
      </c>
      <c r="M208" s="115">
        <f>80813+1200</f>
        <v>82013</v>
      </c>
      <c r="N208" s="115">
        <f>81227+1200</f>
        <v>82427</v>
      </c>
      <c r="O208" s="115">
        <f>81641+1100</f>
        <v>82741</v>
      </c>
      <c r="P208" s="123">
        <v>2.17</v>
      </c>
      <c r="Q208" s="124"/>
      <c r="R208" s="238">
        <v>250</v>
      </c>
      <c r="S208" s="238">
        <v>125</v>
      </c>
      <c r="T208" s="121"/>
      <c r="U208" s="125">
        <v>200</v>
      </c>
      <c r="V208" s="125">
        <v>100</v>
      </c>
      <c r="W208" s="127" t="s">
        <v>383</v>
      </c>
      <c r="X208" s="150" t="s">
        <v>385</v>
      </c>
    </row>
    <row r="209" spans="1:24" s="213" customFormat="1" ht="15" customHeight="1" x14ac:dyDescent="0.25">
      <c r="A209" s="218"/>
      <c r="B209" s="222" t="s">
        <v>348</v>
      </c>
      <c r="C209" s="268" t="s">
        <v>349</v>
      </c>
      <c r="D209" s="269"/>
      <c r="E209" s="269"/>
      <c r="F209" s="269"/>
      <c r="G209" s="269"/>
      <c r="H209" s="269"/>
      <c r="I209" s="269"/>
      <c r="J209" s="219"/>
      <c r="K209" s="274" t="s">
        <v>348</v>
      </c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6"/>
    </row>
    <row r="210" spans="1:24" s="128" customFormat="1" x14ac:dyDescent="0.25">
      <c r="A210" s="113">
        <v>142900</v>
      </c>
      <c r="B210" s="209" t="s">
        <v>353</v>
      </c>
      <c r="C210" s="22">
        <v>1</v>
      </c>
      <c r="D210" s="23">
        <f>IF(C210&gt;=1,(K210-C210)*(1+P210*$D$4/100)/$D$4+Q210+R210,"")</f>
        <v>27522.47946666666</v>
      </c>
      <c r="E210" s="23">
        <f>IF(C210&gt;=1,(K210-C210)*(1+P210*$E$4/100)/$E$4+Q210+S210,"")</f>
        <v>15332.146133333334</v>
      </c>
      <c r="F210" s="23">
        <f>IF(C210&gt;=1,(K210-C210)*(1+$P210*$F$4/100)/$F$4+Q210+S210, "")</f>
        <v>11310.368355555554</v>
      </c>
      <c r="G210" s="23">
        <f>IF(C210&gt;=1, (K210-C210)*(1+$P210*$G$4/100)/$G$4+Q210+S210,"")</f>
        <v>9299.4794666666658</v>
      </c>
      <c r="H210" s="23">
        <f>IF(C210&gt;=1, (K210-C210)*(1+$P210*$H$4/100)/$H$4+Q210+S210, "")</f>
        <v>8092.946133333332</v>
      </c>
      <c r="I210" s="23">
        <f>IF(C210&gt;=1, (K210-C210)*(1+$P210*$I$4/100)/$I$4+Q210+S210, "")</f>
        <v>7288.590577777778</v>
      </c>
      <c r="J210" s="114"/>
      <c r="K210" s="115">
        <f>144785</f>
        <v>144785</v>
      </c>
      <c r="L210" s="115">
        <f>142900</f>
        <v>142900</v>
      </c>
      <c r="M210" s="115">
        <f>143528+1200</f>
        <v>144728</v>
      </c>
      <c r="N210" s="115">
        <f>144156+1200</f>
        <v>145356</v>
      </c>
      <c r="O210" s="115">
        <f>144785+1100</f>
        <v>145885</v>
      </c>
      <c r="P210" s="116">
        <v>2.17</v>
      </c>
      <c r="Q210" s="130"/>
      <c r="R210" s="238">
        <v>250</v>
      </c>
      <c r="S210" s="238">
        <v>125</v>
      </c>
      <c r="T210" s="114"/>
      <c r="U210" s="118">
        <v>200</v>
      </c>
      <c r="V210" s="118">
        <v>100</v>
      </c>
      <c r="W210" s="150" t="s">
        <v>383</v>
      </c>
      <c r="X210" s="150" t="s">
        <v>384</v>
      </c>
    </row>
    <row r="211" spans="1:24" s="128" customFormat="1" x14ac:dyDescent="0.25">
      <c r="A211" s="113">
        <v>130900</v>
      </c>
      <c r="B211" s="209" t="s">
        <v>354</v>
      </c>
      <c r="C211" s="22">
        <v>1</v>
      </c>
      <c r="D211" s="23">
        <f>IF(C211&gt;=1,(K211-C211)*(1+P211*$D$4/100)/$D$4+Q211+R211,"")</f>
        <v>25193.513999999996</v>
      </c>
      <c r="E211" s="23">
        <f>IF(C211&gt;=1,(K211-C211)*(1+P211*$E$4/100)/$E$4+Q211+S211,"")</f>
        <v>14033.514000000001</v>
      </c>
      <c r="F211" s="23">
        <f>IF(C211&gt;=1,(K211-C211)*(1+$P211*$F$4/100)/$F$4+Q211+S211, "")</f>
        <v>10355.180666666667</v>
      </c>
      <c r="G211" s="23">
        <f>IF(C211&gt;=1, (K211-C211)*(1+$P211*$G$4/100)/$G$4+Q211+S211,"")</f>
        <v>8516.0139999999992</v>
      </c>
      <c r="H211" s="23">
        <f>IF(C211&gt;=1, (K211-C211)*(1+$P211*$H$4/100)/$H$4+Q211+S211, "")</f>
        <v>7412.5139999999992</v>
      </c>
      <c r="I211" s="23">
        <f>IF(C211&gt;=1, (K211-C211)*(1+$P211*$I$4/100)/$I$4+Q211+S211, "")</f>
        <v>6676.8473333333341</v>
      </c>
      <c r="J211" s="114"/>
      <c r="K211" s="115">
        <f>132421</f>
        <v>132421</v>
      </c>
      <c r="L211" s="115">
        <f>130900</f>
        <v>130900</v>
      </c>
      <c r="M211" s="115">
        <f>131407+1200</f>
        <v>132607</v>
      </c>
      <c r="N211" s="115">
        <f>131914+1200</f>
        <v>133114</v>
      </c>
      <c r="O211" s="115">
        <f>132421+1100</f>
        <v>133521</v>
      </c>
      <c r="P211" s="116">
        <v>2.17</v>
      </c>
      <c r="Q211" s="117"/>
      <c r="R211" s="238">
        <v>250</v>
      </c>
      <c r="S211" s="238">
        <v>125</v>
      </c>
      <c r="T211" s="114"/>
      <c r="U211" s="118">
        <v>200</v>
      </c>
      <c r="V211" s="118">
        <v>100</v>
      </c>
      <c r="W211" s="150" t="s">
        <v>383</v>
      </c>
      <c r="X211" s="150" t="s">
        <v>390</v>
      </c>
    </row>
    <row r="212" spans="1:24" x14ac:dyDescent="0.25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</row>
    <row r="213" spans="1:24" s="55" customFormat="1" x14ac:dyDescent="0.25">
      <c r="A213" s="61" t="s">
        <v>0</v>
      </c>
      <c r="B213" s="60" t="s">
        <v>47</v>
      </c>
      <c r="C213" s="196" t="s">
        <v>80</v>
      </c>
      <c r="D213" s="61">
        <v>6</v>
      </c>
      <c r="E213" s="54">
        <v>12</v>
      </c>
      <c r="F213" s="54">
        <v>18</v>
      </c>
      <c r="G213" s="54">
        <v>24</v>
      </c>
      <c r="H213" s="54">
        <v>30</v>
      </c>
      <c r="I213" s="54">
        <v>36</v>
      </c>
      <c r="K213" s="54" t="s">
        <v>2</v>
      </c>
      <c r="L213" s="54" t="s">
        <v>1</v>
      </c>
      <c r="M213" s="54" t="s">
        <v>3</v>
      </c>
      <c r="N213" s="54" t="s">
        <v>4</v>
      </c>
      <c r="O213" s="54" t="s">
        <v>5</v>
      </c>
      <c r="P213" s="257" t="s">
        <v>6</v>
      </c>
      <c r="Q213" s="258"/>
      <c r="R213" s="239">
        <v>6</v>
      </c>
      <c r="S213" s="239" t="s">
        <v>523</v>
      </c>
      <c r="T213" s="56"/>
      <c r="U213" s="259" t="s">
        <v>7</v>
      </c>
      <c r="V213" s="260"/>
      <c r="W213" s="59" t="s">
        <v>152</v>
      </c>
      <c r="X213" s="59"/>
    </row>
    <row r="214" spans="1:24" ht="15" customHeight="1" x14ac:dyDescent="0.25">
      <c r="A214" s="252" t="s">
        <v>22</v>
      </c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71"/>
      <c r="X214" s="71"/>
    </row>
    <row r="215" spans="1:24" ht="12" customHeight="1" x14ac:dyDescent="0.25">
      <c r="A215" s="99">
        <v>155400</v>
      </c>
      <c r="B215" s="107" t="s">
        <v>620</v>
      </c>
      <c r="C215" s="20"/>
      <c r="D215" s="231"/>
      <c r="E215" s="231"/>
      <c r="F215" s="231"/>
      <c r="G215" s="231"/>
      <c r="H215" s="231"/>
      <c r="I215" s="231"/>
      <c r="J215" s="101"/>
      <c r="K215" s="102"/>
      <c r="L215" s="102">
        <v>155400</v>
      </c>
      <c r="M215" s="102"/>
      <c r="N215" s="102"/>
      <c r="O215" s="102"/>
      <c r="P215" s="103"/>
      <c r="Q215" s="104"/>
      <c r="R215" s="240"/>
      <c r="S215" s="240"/>
      <c r="T215" s="101"/>
      <c r="U215" s="105"/>
      <c r="V215" s="105"/>
      <c r="W215" s="108" t="s">
        <v>618</v>
      </c>
      <c r="X215" s="108" t="s">
        <v>619</v>
      </c>
    </row>
    <row r="216" spans="1:24" ht="12" customHeight="1" x14ac:dyDescent="0.25">
      <c r="A216" s="99">
        <v>109900</v>
      </c>
      <c r="B216" s="107" t="s">
        <v>364</v>
      </c>
      <c r="C216" s="20"/>
      <c r="D216" s="21" t="str">
        <f>IF(C216&gt;=1,(K216-C216)*(1+P216*$D$4/100)/$D$4+Q216+R216,"")</f>
        <v/>
      </c>
      <c r="E216" s="21" t="str">
        <f>IF(C216&gt;=1,(K216-C216)*(1+P216*$E$4/100)/$E$4+Q216+S216,"")</f>
        <v/>
      </c>
      <c r="F216" s="21" t="str">
        <f>IF(C216&gt;=1,(K216-C216)*(1+$P216*$F$4/100)/$F$4+Q216+S216, "")</f>
        <v/>
      </c>
      <c r="G216" s="21" t="str">
        <f>IF(C216&gt;=1, (K216-C216)*(1+$P216*$G$4/100)/$G$4+Q216+S216,"")</f>
        <v/>
      </c>
      <c r="H216" s="21" t="str">
        <f>IF(C216&gt;=1, (K216-C216)*(1+$P216*$H$4/100)/$H$4+Q216+S216, "")</f>
        <v/>
      </c>
      <c r="I216" s="21" t="str">
        <f>IF(C216&gt;=1, (K216-C216)*(1+$P216*$I$4/100)/$I$4+Q216+S216, "")</f>
        <v/>
      </c>
      <c r="J216" s="101"/>
      <c r="K216" s="102">
        <v>113384</v>
      </c>
      <c r="L216" s="102">
        <v>112100</v>
      </c>
      <c r="M216" s="102">
        <f>112528+1200</f>
        <v>113728</v>
      </c>
      <c r="N216" s="102">
        <f>112956+1200</f>
        <v>114156</v>
      </c>
      <c r="O216" s="102">
        <f>113384+1100</f>
        <v>114484</v>
      </c>
      <c r="P216" s="103">
        <v>2.17</v>
      </c>
      <c r="Q216" s="104">
        <v>200</v>
      </c>
      <c r="R216" s="240">
        <v>250</v>
      </c>
      <c r="S216" s="240">
        <v>125</v>
      </c>
      <c r="T216" s="101"/>
      <c r="U216" s="105">
        <v>350</v>
      </c>
      <c r="V216" s="105">
        <v>100</v>
      </c>
      <c r="W216" s="108" t="s">
        <v>427</v>
      </c>
      <c r="X216" s="108" t="s">
        <v>437</v>
      </c>
    </row>
    <row r="217" spans="1:24" ht="12" customHeight="1" x14ac:dyDescent="0.25">
      <c r="A217" s="99">
        <v>125900</v>
      </c>
      <c r="B217" s="107" t="s">
        <v>400</v>
      </c>
      <c r="C217" s="20"/>
      <c r="D217" s="21" t="str">
        <f>IF(C217&gt;=1,(K217-C217)*(1+P217*$D$4/100)/$D$4+Q217+R217,"")</f>
        <v/>
      </c>
      <c r="E217" s="21" t="str">
        <f t="shared" ref="E217:E262" si="72">IF(C217&gt;=1,(K217-C217)*(1+P217*$E$4/100)/$E$4+Q217+S217,"")</f>
        <v/>
      </c>
      <c r="F217" s="21" t="str">
        <f t="shared" ref="F217:F296" si="73">IF(C217&gt;=1,(K217-C217)*(1+$P217*$F$4/100)/$F$4+Q217+S217, "")</f>
        <v/>
      </c>
      <c r="G217" s="21" t="str">
        <f t="shared" ref="G217:G296" si="74">IF(C217&gt;=1, (K217-C217)*(1+$P217*$G$4/100)/$G$4+Q217+S217,"")</f>
        <v/>
      </c>
      <c r="H217" s="21" t="str">
        <f t="shared" ref="H217:H296" si="75">IF(C217&gt;=1, (K217-C217)*(1+$P217*$H$4/100)/$H$4+Q217+S217, "")</f>
        <v/>
      </c>
      <c r="I217" s="21" t="str">
        <f t="shared" ref="I217:I274" si="76">IF(C217&gt;=1, (K217-C217)*(1+$P217*$I$4/100)/$I$4+Q217+S217, "")</f>
        <v/>
      </c>
      <c r="J217" s="101"/>
      <c r="K217" s="102">
        <f>131372</f>
        <v>131372</v>
      </c>
      <c r="L217" s="102">
        <f>127893</f>
        <v>127893</v>
      </c>
      <c r="M217" s="102">
        <f>129052+1200</f>
        <v>130252</v>
      </c>
      <c r="N217" s="102">
        <f>130212+1200</f>
        <v>131412</v>
      </c>
      <c r="O217" s="102">
        <f>131372+1100</f>
        <v>132472</v>
      </c>
      <c r="P217" s="103">
        <v>2.17</v>
      </c>
      <c r="Q217" s="104">
        <v>200</v>
      </c>
      <c r="R217" s="240">
        <v>250</v>
      </c>
      <c r="S217" s="240">
        <v>125</v>
      </c>
      <c r="T217" s="101"/>
      <c r="U217" s="105">
        <v>350</v>
      </c>
      <c r="V217" s="105">
        <v>100</v>
      </c>
      <c r="W217" s="108" t="s">
        <v>422</v>
      </c>
      <c r="X217" s="108" t="s">
        <v>426</v>
      </c>
    </row>
    <row r="218" spans="1:24" ht="12" customHeight="1" x14ac:dyDescent="0.25">
      <c r="A218" s="99">
        <v>80900</v>
      </c>
      <c r="B218" s="100" t="s">
        <v>194</v>
      </c>
      <c r="C218" s="20"/>
      <c r="D218" s="21" t="str">
        <f t="shared" ref="D218:D299" si="77">IF(C218&gt;=1,(K218-C218)*(1+P218*$D$4/100)/$D$4+Q218+R218,"")</f>
        <v/>
      </c>
      <c r="E218" s="21" t="str">
        <f t="shared" si="72"/>
        <v/>
      </c>
      <c r="F218" s="21" t="str">
        <f t="shared" si="73"/>
        <v/>
      </c>
      <c r="G218" s="21" t="str">
        <f t="shared" si="74"/>
        <v/>
      </c>
      <c r="H218" s="21" t="str">
        <f t="shared" si="75"/>
        <v/>
      </c>
      <c r="I218" s="21" t="str">
        <f t="shared" si="76"/>
        <v/>
      </c>
      <c r="J218" s="101"/>
      <c r="K218" s="102">
        <v>84143</v>
      </c>
      <c r="L218" s="102">
        <v>81770</v>
      </c>
      <c r="M218" s="102">
        <f>82561+1200</f>
        <v>83761</v>
      </c>
      <c r="N218" s="102">
        <f>83352+1200</f>
        <v>84552</v>
      </c>
      <c r="O218" s="102">
        <f>84143+1100</f>
        <v>85243</v>
      </c>
      <c r="P218" s="103">
        <v>2.17</v>
      </c>
      <c r="Q218" s="104">
        <v>200</v>
      </c>
      <c r="R218" s="240">
        <v>250</v>
      </c>
      <c r="S218" s="240">
        <v>125</v>
      </c>
      <c r="T218" s="101"/>
      <c r="U218" s="105">
        <v>200</v>
      </c>
      <c r="V218" s="105">
        <v>100</v>
      </c>
      <c r="W218" s="108" t="s">
        <v>174</v>
      </c>
      <c r="X218" s="108"/>
    </row>
    <row r="219" spans="1:24" ht="12" customHeight="1" x14ac:dyDescent="0.25">
      <c r="A219" s="99">
        <v>74900</v>
      </c>
      <c r="B219" s="100" t="s">
        <v>250</v>
      </c>
      <c r="C219" s="20"/>
      <c r="D219" s="21" t="str">
        <f t="shared" si="77"/>
        <v/>
      </c>
      <c r="E219" s="21" t="str">
        <f t="shared" si="72"/>
        <v/>
      </c>
      <c r="F219" s="21" t="str">
        <f t="shared" si="73"/>
        <v/>
      </c>
      <c r="G219" s="21" t="str">
        <f t="shared" si="74"/>
        <v/>
      </c>
      <c r="H219" s="21" t="str">
        <f t="shared" si="75"/>
        <v/>
      </c>
      <c r="I219" s="21" t="str">
        <f t="shared" si="76"/>
        <v/>
      </c>
      <c r="J219" s="101"/>
      <c r="K219" s="102">
        <v>76370</v>
      </c>
      <c r="L219" s="102">
        <v>75400</v>
      </c>
      <c r="M219" s="102">
        <f>75723+1200</f>
        <v>76923</v>
      </c>
      <c r="N219" s="102">
        <f>76046+1200</f>
        <v>77246</v>
      </c>
      <c r="O219" s="102">
        <f>76370+1100</f>
        <v>77470</v>
      </c>
      <c r="P219" s="103">
        <v>2.17</v>
      </c>
      <c r="Q219" s="104">
        <v>200</v>
      </c>
      <c r="R219" s="240">
        <v>250</v>
      </c>
      <c r="S219" s="240">
        <v>125</v>
      </c>
      <c r="T219" s="101"/>
      <c r="U219" s="105">
        <v>200</v>
      </c>
      <c r="V219" s="105">
        <v>100</v>
      </c>
      <c r="W219" s="108" t="s">
        <v>243</v>
      </c>
      <c r="X219" s="108" t="s">
        <v>248</v>
      </c>
    </row>
    <row r="220" spans="1:24" ht="12" customHeight="1" x14ac:dyDescent="0.25">
      <c r="A220" s="99">
        <v>79900</v>
      </c>
      <c r="B220" s="197" t="s">
        <v>328</v>
      </c>
      <c r="C220" s="20"/>
      <c r="D220" s="21" t="str">
        <f t="shared" si="77"/>
        <v/>
      </c>
      <c r="E220" s="21" t="str">
        <f t="shared" si="72"/>
        <v/>
      </c>
      <c r="F220" s="21" t="str">
        <f t="shared" si="73"/>
        <v/>
      </c>
      <c r="G220" s="21" t="str">
        <f t="shared" si="74"/>
        <v/>
      </c>
      <c r="H220" s="21" t="str">
        <f t="shared" si="75"/>
        <v/>
      </c>
      <c r="I220" s="21" t="str">
        <f t="shared" si="76"/>
        <v/>
      </c>
      <c r="J220" s="101"/>
      <c r="K220" s="102">
        <f>83070</f>
        <v>83070</v>
      </c>
      <c r="L220" s="102">
        <f>82100</f>
        <v>82100</v>
      </c>
      <c r="M220" s="102">
        <f>82423+1200</f>
        <v>83623</v>
      </c>
      <c r="N220" s="102">
        <f>82746+1200</f>
        <v>83946</v>
      </c>
      <c r="O220" s="102">
        <f>83070+1100</f>
        <v>84170</v>
      </c>
      <c r="P220" s="103">
        <v>2.17</v>
      </c>
      <c r="Q220" s="104">
        <v>200</v>
      </c>
      <c r="R220" s="240">
        <v>250</v>
      </c>
      <c r="S220" s="240">
        <v>125</v>
      </c>
      <c r="T220" s="101"/>
      <c r="U220" s="105">
        <v>200</v>
      </c>
      <c r="V220" s="105">
        <v>100</v>
      </c>
      <c r="W220" s="108" t="s">
        <v>422</v>
      </c>
      <c r="X220" s="108" t="s">
        <v>442</v>
      </c>
    </row>
    <row r="221" spans="1:24" ht="12" customHeight="1" x14ac:dyDescent="0.25">
      <c r="A221" s="99">
        <v>83900</v>
      </c>
      <c r="B221" s="197" t="s">
        <v>520</v>
      </c>
      <c r="C221" s="20"/>
      <c r="D221" s="21" t="str">
        <f t="shared" si="77"/>
        <v/>
      </c>
      <c r="E221" s="21" t="str">
        <f t="shared" si="72"/>
        <v/>
      </c>
      <c r="F221" s="21" t="str">
        <f t="shared" si="73"/>
        <v/>
      </c>
      <c r="G221" s="21" t="str">
        <f t="shared" si="74"/>
        <v/>
      </c>
      <c r="H221" s="21" t="str">
        <f t="shared" si="75"/>
        <v/>
      </c>
      <c r="I221" s="21" t="str">
        <f t="shared" si="76"/>
        <v/>
      </c>
      <c r="J221" s="101"/>
      <c r="K221" s="102">
        <f>87070</f>
        <v>87070</v>
      </c>
      <c r="L221" s="102">
        <f>86100</f>
        <v>86100</v>
      </c>
      <c r="M221" s="102">
        <f>86423+1200</f>
        <v>87623</v>
      </c>
      <c r="N221" s="102">
        <f>86746+1200</f>
        <v>87946</v>
      </c>
      <c r="O221" s="102">
        <f>87070+1100</f>
        <v>88170</v>
      </c>
      <c r="P221" s="103">
        <v>2.17</v>
      </c>
      <c r="Q221" s="104">
        <v>200</v>
      </c>
      <c r="R221" s="240">
        <v>250</v>
      </c>
      <c r="S221" s="240">
        <v>125</v>
      </c>
      <c r="T221" s="101"/>
      <c r="U221" s="105">
        <v>200</v>
      </c>
      <c r="V221" s="105">
        <v>100</v>
      </c>
      <c r="W221" s="108" t="s">
        <v>514</v>
      </c>
      <c r="X221" s="108" t="s">
        <v>521</v>
      </c>
    </row>
    <row r="222" spans="1:24" ht="12" customHeight="1" x14ac:dyDescent="0.25">
      <c r="A222" s="99">
        <v>80900</v>
      </c>
      <c r="B222" s="197" t="s">
        <v>522</v>
      </c>
      <c r="C222" s="20"/>
      <c r="D222" s="21" t="str">
        <f t="shared" si="77"/>
        <v/>
      </c>
      <c r="E222" s="21" t="str">
        <f t="shared" si="72"/>
        <v/>
      </c>
      <c r="F222" s="21" t="str">
        <f t="shared" si="73"/>
        <v/>
      </c>
      <c r="G222" s="21" t="str">
        <f t="shared" si="74"/>
        <v/>
      </c>
      <c r="H222" s="21" t="str">
        <f t="shared" si="75"/>
        <v/>
      </c>
      <c r="I222" s="21" t="str">
        <f t="shared" si="76"/>
        <v/>
      </c>
      <c r="J222" s="101"/>
      <c r="K222" s="102">
        <f>84070</f>
        <v>84070</v>
      </c>
      <c r="L222" s="102">
        <f>83100</f>
        <v>83100</v>
      </c>
      <c r="M222" s="102">
        <f>83423+1200</f>
        <v>84623</v>
      </c>
      <c r="N222" s="102">
        <f>83746+1200</f>
        <v>84946</v>
      </c>
      <c r="O222" s="102">
        <f>84070+1100</f>
        <v>85170</v>
      </c>
      <c r="P222" s="103">
        <v>2.17</v>
      </c>
      <c r="Q222" s="104">
        <v>200</v>
      </c>
      <c r="R222" s="240">
        <v>250</v>
      </c>
      <c r="S222" s="240">
        <v>125</v>
      </c>
      <c r="T222" s="101"/>
      <c r="U222" s="105">
        <v>200</v>
      </c>
      <c r="V222" s="105">
        <v>100</v>
      </c>
      <c r="W222" s="108" t="s">
        <v>514</v>
      </c>
      <c r="X222" s="108" t="s">
        <v>425</v>
      </c>
    </row>
    <row r="223" spans="1:24" ht="12" customHeight="1" x14ac:dyDescent="0.25">
      <c r="A223" s="99">
        <v>81400</v>
      </c>
      <c r="B223" s="197" t="s">
        <v>560</v>
      </c>
      <c r="C223" s="20"/>
      <c r="D223" s="21" t="str">
        <f t="shared" si="77"/>
        <v/>
      </c>
      <c r="E223" s="21" t="str">
        <f t="shared" si="72"/>
        <v/>
      </c>
      <c r="F223" s="21" t="str">
        <f t="shared" si="73"/>
        <v/>
      </c>
      <c r="G223" s="21" t="str">
        <f t="shared" si="74"/>
        <v/>
      </c>
      <c r="H223" s="21" t="str">
        <f t="shared" si="75"/>
        <v/>
      </c>
      <c r="I223" s="21" t="str">
        <f t="shared" si="76"/>
        <v/>
      </c>
      <c r="J223" s="101"/>
      <c r="K223" s="102">
        <v>84698</v>
      </c>
      <c r="L223" s="102">
        <v>83880</v>
      </c>
      <c r="M223" s="102">
        <f>84152+1200</f>
        <v>85352</v>
      </c>
      <c r="N223" s="102">
        <f>84425+1200</f>
        <v>85625</v>
      </c>
      <c r="O223" s="102">
        <f>84698+1100</f>
        <v>85798</v>
      </c>
      <c r="P223" s="103">
        <v>2.17</v>
      </c>
      <c r="Q223" s="104">
        <v>200</v>
      </c>
      <c r="R223" s="240">
        <v>250</v>
      </c>
      <c r="S223" s="240">
        <v>125</v>
      </c>
      <c r="T223" s="101"/>
      <c r="U223" s="105">
        <v>350</v>
      </c>
      <c r="V223" s="105">
        <v>100</v>
      </c>
      <c r="W223" s="108" t="s">
        <v>561</v>
      </c>
      <c r="X223" s="108" t="s">
        <v>562</v>
      </c>
    </row>
    <row r="224" spans="1:24" ht="12" customHeight="1" x14ac:dyDescent="0.25">
      <c r="A224" s="99">
        <v>83900</v>
      </c>
      <c r="B224" s="197" t="s">
        <v>563</v>
      </c>
      <c r="C224" s="20"/>
      <c r="D224" s="21" t="str">
        <f t="shared" si="77"/>
        <v/>
      </c>
      <c r="E224" s="21" t="str">
        <f t="shared" si="72"/>
        <v/>
      </c>
      <c r="F224" s="21" t="str">
        <f t="shared" si="73"/>
        <v/>
      </c>
      <c r="G224" s="21" t="str">
        <f t="shared" si="74"/>
        <v/>
      </c>
      <c r="H224" s="21" t="str">
        <f t="shared" si="75"/>
        <v/>
      </c>
      <c r="I224" s="21" t="str">
        <f t="shared" si="76"/>
        <v/>
      </c>
      <c r="J224" s="101"/>
      <c r="K224" s="102">
        <v>88341</v>
      </c>
      <c r="L224" s="102">
        <v>86658</v>
      </c>
      <c r="M224" s="102">
        <f>87219+1200</f>
        <v>88419</v>
      </c>
      <c r="N224" s="102">
        <f>87780+1200</f>
        <v>88980</v>
      </c>
      <c r="O224" s="102">
        <f>88341+1100</f>
        <v>89441</v>
      </c>
      <c r="P224" s="103">
        <v>2.17</v>
      </c>
      <c r="Q224" s="104">
        <v>200</v>
      </c>
      <c r="R224" s="240">
        <v>250</v>
      </c>
      <c r="S224" s="240">
        <v>125</v>
      </c>
      <c r="T224" s="101"/>
      <c r="U224" s="105">
        <v>350</v>
      </c>
      <c r="V224" s="105">
        <v>100</v>
      </c>
      <c r="W224" s="108" t="s">
        <v>561</v>
      </c>
      <c r="X224" s="108" t="s">
        <v>564</v>
      </c>
    </row>
    <row r="225" spans="1:24" ht="12" customHeight="1" x14ac:dyDescent="0.25">
      <c r="A225" s="99">
        <v>81900</v>
      </c>
      <c r="B225" s="197" t="s">
        <v>670</v>
      </c>
      <c r="C225" s="20">
        <v>30000</v>
      </c>
      <c r="D225" s="21">
        <f t="shared" si="77"/>
        <v>10913.391599999999</v>
      </c>
      <c r="E225" s="21">
        <f t="shared" si="72"/>
        <v>6159.3915999999999</v>
      </c>
      <c r="F225" s="21">
        <f t="shared" si="73"/>
        <v>4616.3915999999999</v>
      </c>
      <c r="G225" s="21">
        <f t="shared" si="74"/>
        <v>3844.8915999999995</v>
      </c>
      <c r="H225" s="21">
        <f t="shared" si="75"/>
        <v>3381.9915999999998</v>
      </c>
      <c r="I225" s="21">
        <f t="shared" si="76"/>
        <v>3073.3916000000004</v>
      </c>
      <c r="J225" s="101"/>
      <c r="K225" s="102">
        <f>85548</f>
        <v>85548</v>
      </c>
      <c r="L225" s="102">
        <f>84730</f>
        <v>84730</v>
      </c>
      <c r="M225" s="102">
        <f>85002+1200</f>
        <v>86202</v>
      </c>
      <c r="N225" s="102">
        <f>85275+1200</f>
        <v>86475</v>
      </c>
      <c r="O225" s="102">
        <f>85548+1100</f>
        <v>86648</v>
      </c>
      <c r="P225" s="103">
        <v>2.17</v>
      </c>
      <c r="Q225" s="104">
        <v>200</v>
      </c>
      <c r="R225" s="240">
        <v>250</v>
      </c>
      <c r="S225" s="240">
        <v>125</v>
      </c>
      <c r="T225" s="101"/>
      <c r="U225" s="105">
        <v>200</v>
      </c>
      <c r="V225" s="105">
        <v>100</v>
      </c>
      <c r="W225" s="108" t="s">
        <v>697</v>
      </c>
      <c r="X225" s="108" t="s">
        <v>699</v>
      </c>
    </row>
    <row r="226" spans="1:24" ht="12" customHeight="1" x14ac:dyDescent="0.25">
      <c r="A226" s="99">
        <v>84900</v>
      </c>
      <c r="B226" s="197" t="s">
        <v>671</v>
      </c>
      <c r="C226" s="20">
        <v>30000</v>
      </c>
      <c r="D226" s="21">
        <f t="shared" si="77"/>
        <v>11693.794699999999</v>
      </c>
      <c r="E226" s="21">
        <f t="shared" si="72"/>
        <v>6594.5446999999995</v>
      </c>
      <c r="F226" s="21">
        <f t="shared" si="73"/>
        <v>4936.4613666666664</v>
      </c>
      <c r="G226" s="21">
        <f t="shared" si="74"/>
        <v>4107.4197000000004</v>
      </c>
      <c r="H226" s="21">
        <f t="shared" si="75"/>
        <v>3609.9946999999997</v>
      </c>
      <c r="I226" s="21">
        <f t="shared" si="76"/>
        <v>3278.3780333333334</v>
      </c>
      <c r="J226" s="101"/>
      <c r="K226" s="102">
        <f>89691</f>
        <v>89691</v>
      </c>
      <c r="L226" s="102">
        <f>88008</f>
        <v>88008</v>
      </c>
      <c r="M226" s="102">
        <f>88569+1200</f>
        <v>89769</v>
      </c>
      <c r="N226" s="102">
        <f>89130+1200</f>
        <v>90330</v>
      </c>
      <c r="O226" s="102">
        <f>89691+1100</f>
        <v>90791</v>
      </c>
      <c r="P226" s="103">
        <v>2.17</v>
      </c>
      <c r="Q226" s="104">
        <v>200</v>
      </c>
      <c r="R226" s="240">
        <v>250</v>
      </c>
      <c r="S226" s="240">
        <v>125</v>
      </c>
      <c r="T226" s="101"/>
      <c r="U226" s="105">
        <v>200</v>
      </c>
      <c r="V226" s="105">
        <v>100</v>
      </c>
      <c r="W226" s="108" t="s">
        <v>697</v>
      </c>
      <c r="X226" s="108" t="s">
        <v>700</v>
      </c>
    </row>
    <row r="227" spans="1:24" ht="12" customHeight="1" x14ac:dyDescent="0.25">
      <c r="A227" s="99">
        <v>91900</v>
      </c>
      <c r="B227" s="107" t="s">
        <v>157</v>
      </c>
      <c r="C227" s="20"/>
      <c r="D227" s="21" t="str">
        <f t="shared" si="77"/>
        <v/>
      </c>
      <c r="E227" s="21" t="str">
        <f t="shared" si="72"/>
        <v/>
      </c>
      <c r="F227" s="21" t="str">
        <f t="shared" si="73"/>
        <v/>
      </c>
      <c r="G227" s="21" t="str">
        <f t="shared" si="74"/>
        <v/>
      </c>
      <c r="H227" s="21" t="str">
        <f t="shared" si="75"/>
        <v/>
      </c>
      <c r="I227" s="21" t="str">
        <f t="shared" si="76"/>
        <v/>
      </c>
      <c r="J227" s="101"/>
      <c r="K227" s="102">
        <v>94114</v>
      </c>
      <c r="L227" s="102">
        <v>91900</v>
      </c>
      <c r="M227" s="102">
        <f>93598+240</f>
        <v>93838</v>
      </c>
      <c r="N227" s="102">
        <f>94336+240</f>
        <v>94576</v>
      </c>
      <c r="O227" s="102">
        <f>94974+240</f>
        <v>95214</v>
      </c>
      <c r="P227" s="103">
        <v>2.17</v>
      </c>
      <c r="Q227" s="104">
        <v>200</v>
      </c>
      <c r="R227" s="240">
        <v>250</v>
      </c>
      <c r="S227" s="240">
        <v>125</v>
      </c>
      <c r="T227" s="101"/>
      <c r="U227" s="105">
        <v>200</v>
      </c>
      <c r="V227" s="105">
        <v>100</v>
      </c>
      <c r="W227" s="106" t="s">
        <v>155</v>
      </c>
      <c r="X227" s="106"/>
    </row>
    <row r="228" spans="1:24" ht="12" customHeight="1" x14ac:dyDescent="0.25">
      <c r="A228" s="99">
        <v>99900</v>
      </c>
      <c r="B228" s="107" t="s">
        <v>333</v>
      </c>
      <c r="C228" s="20"/>
      <c r="D228" s="21" t="str">
        <f t="shared" si="77"/>
        <v/>
      </c>
      <c r="E228" s="21" t="str">
        <f t="shared" si="72"/>
        <v/>
      </c>
      <c r="F228" s="21" t="str">
        <f t="shared" si="73"/>
        <v/>
      </c>
      <c r="G228" s="21" t="str">
        <f t="shared" si="74"/>
        <v/>
      </c>
      <c r="H228" s="21" t="str">
        <f t="shared" si="75"/>
        <v/>
      </c>
      <c r="I228" s="21" t="str">
        <f t="shared" si="76"/>
        <v/>
      </c>
      <c r="J228" s="101"/>
      <c r="K228" s="102">
        <v>101844</v>
      </c>
      <c r="L228" s="102">
        <v>100400</v>
      </c>
      <c r="M228" s="102">
        <f>100881+1200</f>
        <v>102081</v>
      </c>
      <c r="N228" s="102">
        <f>101362+1200</f>
        <v>102562</v>
      </c>
      <c r="O228" s="102">
        <f>101844+1100</f>
        <v>102944</v>
      </c>
      <c r="P228" s="103">
        <v>2.17</v>
      </c>
      <c r="Q228" s="104">
        <v>200</v>
      </c>
      <c r="R228" s="240">
        <v>250</v>
      </c>
      <c r="S228" s="240">
        <v>125</v>
      </c>
      <c r="T228" s="101"/>
      <c r="U228" s="105">
        <v>200</v>
      </c>
      <c r="V228" s="105">
        <v>100</v>
      </c>
      <c r="W228" s="108" t="s">
        <v>326</v>
      </c>
      <c r="X228" s="108" t="s">
        <v>327</v>
      </c>
    </row>
    <row r="229" spans="1:24" ht="12" customHeight="1" x14ac:dyDescent="0.25">
      <c r="A229" s="99">
        <v>122900</v>
      </c>
      <c r="B229" s="107" t="s">
        <v>543</v>
      </c>
      <c r="C229" s="20"/>
      <c r="D229" s="21" t="str">
        <f t="shared" si="77"/>
        <v/>
      </c>
      <c r="E229" s="21" t="str">
        <f t="shared" si="72"/>
        <v/>
      </c>
      <c r="F229" s="21" t="str">
        <f t="shared" si="73"/>
        <v/>
      </c>
      <c r="G229" s="21" t="str">
        <f t="shared" si="74"/>
        <v/>
      </c>
      <c r="H229" s="21" t="str">
        <f t="shared" si="75"/>
        <v/>
      </c>
      <c r="I229" s="21" t="str">
        <f t="shared" si="76"/>
        <v/>
      </c>
      <c r="J229" s="101"/>
      <c r="K229" s="102">
        <f>127287</f>
        <v>127287</v>
      </c>
      <c r="L229" s="102">
        <f>124180</f>
        <v>124180</v>
      </c>
      <c r="M229" s="102">
        <f>125215+1200</f>
        <v>126415</v>
      </c>
      <c r="N229" s="102">
        <f>126251+1200</f>
        <v>127451</v>
      </c>
      <c r="O229" s="102">
        <f>127287+1100</f>
        <v>128387</v>
      </c>
      <c r="P229" s="103">
        <v>2.17</v>
      </c>
      <c r="Q229" s="104">
        <v>200</v>
      </c>
      <c r="R229" s="240">
        <v>250</v>
      </c>
      <c r="S229" s="240">
        <v>125</v>
      </c>
      <c r="T229" s="101"/>
      <c r="U229" s="105">
        <v>350</v>
      </c>
      <c r="V229" s="105">
        <v>100</v>
      </c>
      <c r="W229" s="108" t="s">
        <v>546</v>
      </c>
      <c r="X229" s="108" t="s">
        <v>547</v>
      </c>
    </row>
    <row r="230" spans="1:24" ht="12" customHeight="1" x14ac:dyDescent="0.25">
      <c r="A230" s="99">
        <v>116900</v>
      </c>
      <c r="B230" s="107" t="s">
        <v>609</v>
      </c>
      <c r="C230" s="20"/>
      <c r="D230" s="21" t="str">
        <f t="shared" si="77"/>
        <v/>
      </c>
      <c r="E230" s="21" t="str">
        <f t="shared" si="72"/>
        <v/>
      </c>
      <c r="F230" s="21" t="str">
        <f t="shared" si="73"/>
        <v/>
      </c>
      <c r="G230" s="21" t="str">
        <f t="shared" si="74"/>
        <v/>
      </c>
      <c r="H230" s="21" t="str">
        <f t="shared" si="75"/>
        <v/>
      </c>
      <c r="I230" s="21" t="str">
        <f t="shared" si="76"/>
        <v/>
      </c>
      <c r="J230" s="101"/>
      <c r="K230" s="102">
        <f>121794</f>
        <v>121794</v>
      </c>
      <c r="L230" s="102">
        <f>119474</f>
        <v>119474</v>
      </c>
      <c r="M230" s="102">
        <f>120247+1200</f>
        <v>121447</v>
      </c>
      <c r="N230" s="102">
        <f>121021+1200</f>
        <v>122221</v>
      </c>
      <c r="O230" s="102">
        <f>121794+1100</f>
        <v>122894</v>
      </c>
      <c r="P230" s="103">
        <v>2.17</v>
      </c>
      <c r="Q230" s="104">
        <v>200</v>
      </c>
      <c r="R230" s="240">
        <v>250</v>
      </c>
      <c r="S230" s="240">
        <v>125</v>
      </c>
      <c r="T230" s="101"/>
      <c r="U230" s="105">
        <v>200</v>
      </c>
      <c r="V230" s="105">
        <v>100</v>
      </c>
      <c r="W230" s="108" t="s">
        <v>610</v>
      </c>
      <c r="X230" s="108" t="s">
        <v>611</v>
      </c>
    </row>
    <row r="231" spans="1:24" ht="12" customHeight="1" x14ac:dyDescent="0.25">
      <c r="A231" s="99">
        <v>101900</v>
      </c>
      <c r="B231" s="107" t="s">
        <v>628</v>
      </c>
      <c r="C231" s="20">
        <v>50000</v>
      </c>
      <c r="D231" s="21">
        <f t="shared" si="77"/>
        <v>11013.414299999999</v>
      </c>
      <c r="E231" s="21">
        <f t="shared" si="72"/>
        <v>6215.1643000000004</v>
      </c>
      <c r="F231" s="21">
        <f t="shared" si="73"/>
        <v>4657.4143000000004</v>
      </c>
      <c r="G231" s="21">
        <f t="shared" si="74"/>
        <v>3878.5392999999999</v>
      </c>
      <c r="H231" s="21">
        <f>IF(C231&gt;=1, (K231-C231)*(1+$P231*$H$4/100)/$H$4+Q231+S231, "")</f>
        <v>3411.2142999999996</v>
      </c>
      <c r="I231" s="21">
        <f t="shared" si="76"/>
        <v>3099.6643000000004</v>
      </c>
      <c r="J231" s="101"/>
      <c r="K231" s="102">
        <f>106079</f>
        <v>106079</v>
      </c>
      <c r="L231" s="102">
        <f>104065</f>
        <v>104065</v>
      </c>
      <c r="M231" s="102">
        <f>104736+1200</f>
        <v>105936</v>
      </c>
      <c r="N231" s="102">
        <f>105408+1200</f>
        <v>106608</v>
      </c>
      <c r="O231" s="102">
        <f>106079+1100</f>
        <v>107179</v>
      </c>
      <c r="P231" s="103">
        <v>2.17</v>
      </c>
      <c r="Q231" s="104">
        <v>200</v>
      </c>
      <c r="R231" s="240">
        <v>250</v>
      </c>
      <c r="S231" s="240">
        <v>125</v>
      </c>
      <c r="T231" s="101"/>
      <c r="U231" s="105">
        <v>200</v>
      </c>
      <c r="V231" s="105">
        <v>100</v>
      </c>
      <c r="W231" s="108" t="s">
        <v>697</v>
      </c>
      <c r="X231" s="106" t="s">
        <v>701</v>
      </c>
    </row>
    <row r="232" spans="1:24" ht="12" customHeight="1" x14ac:dyDescent="0.25">
      <c r="A232" s="99">
        <v>93900</v>
      </c>
      <c r="B232" s="100" t="s">
        <v>163</v>
      </c>
      <c r="C232" s="20"/>
      <c r="D232" s="21" t="str">
        <f t="shared" si="77"/>
        <v/>
      </c>
      <c r="E232" s="21" t="str">
        <f t="shared" si="72"/>
        <v/>
      </c>
      <c r="F232" s="21" t="str">
        <f t="shared" si="73"/>
        <v/>
      </c>
      <c r="G232" s="21" t="str">
        <f t="shared" si="74"/>
        <v/>
      </c>
      <c r="H232" s="21" t="str">
        <f>IF(C232&gt;=1, (K232-C232)*(1+$P232*$H$4/100)/$H$4+Q232+S232, "")</f>
        <v/>
      </c>
      <c r="I232" s="21" t="str">
        <f t="shared" si="76"/>
        <v/>
      </c>
      <c r="J232" s="101"/>
      <c r="K232" s="102">
        <f>96842</f>
        <v>96842</v>
      </c>
      <c r="L232" s="102">
        <f>93900</f>
        <v>93900</v>
      </c>
      <c r="M232" s="102">
        <f>94880+1200</f>
        <v>96080</v>
      </c>
      <c r="N232" s="102">
        <f>95861+1200</f>
        <v>97061</v>
      </c>
      <c r="O232" s="102">
        <f>96842+1100</f>
        <v>97942</v>
      </c>
      <c r="P232" s="103">
        <v>2.17</v>
      </c>
      <c r="Q232" s="104"/>
      <c r="R232" s="240">
        <v>250</v>
      </c>
      <c r="S232" s="240">
        <v>125</v>
      </c>
      <c r="T232" s="101"/>
      <c r="U232" s="105">
        <v>200</v>
      </c>
      <c r="V232" s="105">
        <v>100</v>
      </c>
      <c r="W232" s="106" t="s">
        <v>162</v>
      </c>
      <c r="X232" s="106"/>
    </row>
    <row r="233" spans="1:24" ht="12" customHeight="1" x14ac:dyDescent="0.25">
      <c r="A233" s="99">
        <v>72900</v>
      </c>
      <c r="B233" s="197" t="s">
        <v>323</v>
      </c>
      <c r="C233" s="20"/>
      <c r="D233" s="21" t="str">
        <f t="shared" si="77"/>
        <v/>
      </c>
      <c r="E233" s="21" t="str">
        <f t="shared" si="72"/>
        <v/>
      </c>
      <c r="F233" s="21" t="str">
        <f t="shared" si="73"/>
        <v/>
      </c>
      <c r="G233" s="21" t="str">
        <f t="shared" si="74"/>
        <v/>
      </c>
      <c r="H233" s="21" t="str">
        <f t="shared" si="75"/>
        <v/>
      </c>
      <c r="I233" s="21" t="str">
        <f t="shared" si="76"/>
        <v/>
      </c>
      <c r="J233" s="101"/>
      <c r="K233" s="102">
        <v>77059</v>
      </c>
      <c r="L233" s="102">
        <v>75617</v>
      </c>
      <c r="M233" s="102">
        <f>76097+1200</f>
        <v>77297</v>
      </c>
      <c r="N233" s="102">
        <f>76578+1200</f>
        <v>77778</v>
      </c>
      <c r="O233" s="102">
        <f>77059+1100</f>
        <v>78159</v>
      </c>
      <c r="P233" s="103">
        <v>2.17</v>
      </c>
      <c r="Q233" s="104">
        <v>200</v>
      </c>
      <c r="R233" s="240">
        <v>250</v>
      </c>
      <c r="S233" s="240">
        <v>125</v>
      </c>
      <c r="T233" s="101"/>
      <c r="U233" s="105">
        <v>350</v>
      </c>
      <c r="V233" s="105">
        <v>100</v>
      </c>
      <c r="W233" s="108" t="s">
        <v>427</v>
      </c>
      <c r="X233" s="106" t="s">
        <v>438</v>
      </c>
    </row>
    <row r="234" spans="1:24" ht="12" customHeight="1" x14ac:dyDescent="0.25">
      <c r="A234" s="99">
        <v>150900</v>
      </c>
      <c r="B234" s="197" t="s">
        <v>279</v>
      </c>
      <c r="C234" s="20"/>
      <c r="D234" s="21" t="str">
        <f t="shared" si="77"/>
        <v/>
      </c>
      <c r="E234" s="21" t="str">
        <f t="shared" si="72"/>
        <v/>
      </c>
      <c r="F234" s="21" t="str">
        <f t="shared" si="73"/>
        <v/>
      </c>
      <c r="G234" s="21" t="str">
        <f t="shared" si="74"/>
        <v/>
      </c>
      <c r="H234" s="21" t="str">
        <f t="shared" si="75"/>
        <v/>
      </c>
      <c r="I234" s="21" t="str">
        <f t="shared" si="76"/>
        <v/>
      </c>
      <c r="J234" s="101"/>
      <c r="K234" s="102">
        <v>154054</v>
      </c>
      <c r="L234" s="102">
        <v>152400</v>
      </c>
      <c r="M234" s="102">
        <f>152951+1200</f>
        <v>154151</v>
      </c>
      <c r="N234" s="102">
        <f>153502+1200</f>
        <v>154702</v>
      </c>
      <c r="O234" s="102">
        <f>154054+1100</f>
        <v>155154</v>
      </c>
      <c r="P234" s="103">
        <v>2.17</v>
      </c>
      <c r="Q234" s="104">
        <v>200</v>
      </c>
      <c r="R234" s="240">
        <v>250</v>
      </c>
      <c r="S234" s="240">
        <v>125</v>
      </c>
      <c r="T234" s="101"/>
      <c r="U234" s="105">
        <v>350</v>
      </c>
      <c r="V234" s="105">
        <v>100</v>
      </c>
      <c r="W234" s="108" t="s">
        <v>427</v>
      </c>
      <c r="X234" s="106" t="s">
        <v>439</v>
      </c>
    </row>
    <row r="235" spans="1:24" ht="12" customHeight="1" x14ac:dyDescent="0.25">
      <c r="A235" s="99">
        <v>166900</v>
      </c>
      <c r="B235" s="197" t="s">
        <v>403</v>
      </c>
      <c r="C235" s="20">
        <v>50000</v>
      </c>
      <c r="D235" s="21">
        <f t="shared" si="77"/>
        <v>23072.083199999997</v>
      </c>
      <c r="E235" s="21">
        <f t="shared" si="72"/>
        <v>12939.083199999999</v>
      </c>
      <c r="F235" s="21">
        <f t="shared" si="73"/>
        <v>9603.0832000000009</v>
      </c>
      <c r="G235" s="21">
        <f t="shared" si="74"/>
        <v>7935.0832</v>
      </c>
      <c r="H235" s="21">
        <f t="shared" si="75"/>
        <v>6934.2831999999999</v>
      </c>
      <c r="I235" s="21">
        <f t="shared" si="76"/>
        <v>6267.0832</v>
      </c>
      <c r="J235" s="101"/>
      <c r="K235" s="102">
        <f>170096</f>
        <v>170096</v>
      </c>
      <c r="L235" s="102">
        <f>168180</f>
        <v>168180</v>
      </c>
      <c r="M235" s="102">
        <f>168818+1200</f>
        <v>170018</v>
      </c>
      <c r="N235" s="102">
        <f>169457+1200</f>
        <v>170657</v>
      </c>
      <c r="O235" s="102">
        <f>170096+1100</f>
        <v>171196</v>
      </c>
      <c r="P235" s="103">
        <v>2.17</v>
      </c>
      <c r="Q235" s="104">
        <v>200</v>
      </c>
      <c r="R235" s="240">
        <v>250</v>
      </c>
      <c r="S235" s="240">
        <v>125</v>
      </c>
      <c r="T235" s="101"/>
      <c r="U235" s="105">
        <v>350</v>
      </c>
      <c r="V235" s="105">
        <v>100</v>
      </c>
      <c r="W235" s="108" t="s">
        <v>503</v>
      </c>
      <c r="X235" s="106" t="s">
        <v>504</v>
      </c>
    </row>
    <row r="236" spans="1:24" ht="12" customHeight="1" x14ac:dyDescent="0.25">
      <c r="A236" s="99">
        <v>306000</v>
      </c>
      <c r="B236" s="197" t="s">
        <v>686</v>
      </c>
      <c r="C236" s="20">
        <v>150000</v>
      </c>
      <c r="D236" s="21">
        <f t="shared" si="77"/>
        <v>30638.207099999996</v>
      </c>
      <c r="E236" s="21">
        <f t="shared" si="72"/>
        <v>17157.9571</v>
      </c>
      <c r="F236" s="21">
        <f t="shared" si="73"/>
        <v>12706.207100000001</v>
      </c>
      <c r="G236" s="21">
        <f t="shared" si="74"/>
        <v>10480.3321</v>
      </c>
      <c r="H236" s="21">
        <f t="shared" si="75"/>
        <v>9144.8071</v>
      </c>
      <c r="I236" s="21">
        <f t="shared" si="76"/>
        <v>8254.4571000000014</v>
      </c>
      <c r="J236" s="101"/>
      <c r="K236" s="102">
        <f>310263</f>
        <v>310263</v>
      </c>
      <c r="L236" s="102">
        <f>306000</f>
        <v>306000</v>
      </c>
      <c r="M236" s="102">
        <f>307421+1200</f>
        <v>308621</v>
      </c>
      <c r="N236" s="102">
        <f>308842+1200</f>
        <v>310042</v>
      </c>
      <c r="O236" s="102">
        <f>310263+1100</f>
        <v>311363</v>
      </c>
      <c r="P236" s="103">
        <v>2.17</v>
      </c>
      <c r="Q236" s="104">
        <v>200</v>
      </c>
      <c r="R236" s="240">
        <v>250</v>
      </c>
      <c r="S236" s="240">
        <v>125</v>
      </c>
      <c r="T236" s="101"/>
      <c r="U236" s="105">
        <v>350</v>
      </c>
      <c r="V236" s="105">
        <v>100</v>
      </c>
      <c r="W236" s="108" t="s">
        <v>687</v>
      </c>
      <c r="X236" s="106" t="s">
        <v>688</v>
      </c>
    </row>
    <row r="237" spans="1:24" ht="12" customHeight="1" x14ac:dyDescent="0.25">
      <c r="A237" s="99">
        <v>48700</v>
      </c>
      <c r="B237" s="100" t="s">
        <v>166</v>
      </c>
      <c r="C237" s="20"/>
      <c r="D237" s="21" t="str">
        <f t="shared" si="77"/>
        <v/>
      </c>
      <c r="E237" s="21" t="str">
        <f t="shared" si="72"/>
        <v/>
      </c>
      <c r="F237" s="21" t="str">
        <f t="shared" si="73"/>
        <v/>
      </c>
      <c r="G237" s="21" t="str">
        <f t="shared" si="74"/>
        <v/>
      </c>
      <c r="H237" s="21" t="str">
        <f t="shared" si="75"/>
        <v/>
      </c>
      <c r="I237" s="21" t="str">
        <f t="shared" si="76"/>
        <v/>
      </c>
      <c r="J237" s="101"/>
      <c r="K237" s="102">
        <v>53681</v>
      </c>
      <c r="L237" s="102">
        <v>51803</v>
      </c>
      <c r="M237" s="102">
        <f>52429+1200</f>
        <v>53629</v>
      </c>
      <c r="N237" s="102">
        <f>53055+1200</f>
        <v>54255</v>
      </c>
      <c r="O237" s="102">
        <f>53681+1100</f>
        <v>54781</v>
      </c>
      <c r="P237" s="103">
        <v>2.17</v>
      </c>
      <c r="Q237" s="104"/>
      <c r="R237" s="240">
        <v>250</v>
      </c>
      <c r="S237" s="240">
        <v>125</v>
      </c>
      <c r="T237" s="101"/>
      <c r="U237" s="105">
        <v>200</v>
      </c>
      <c r="V237" s="105">
        <v>100</v>
      </c>
      <c r="W237" s="108" t="s">
        <v>182</v>
      </c>
      <c r="X237" s="108"/>
    </row>
    <row r="238" spans="1:24" ht="12.75" customHeight="1" x14ac:dyDescent="0.25">
      <c r="A238" s="99">
        <v>44900</v>
      </c>
      <c r="B238" s="100" t="s">
        <v>165</v>
      </c>
      <c r="C238" s="20"/>
      <c r="D238" s="21" t="str">
        <f t="shared" si="77"/>
        <v/>
      </c>
      <c r="E238" s="21" t="str">
        <f t="shared" si="72"/>
        <v/>
      </c>
      <c r="F238" s="21" t="str">
        <f t="shared" si="73"/>
        <v/>
      </c>
      <c r="G238" s="21" t="str">
        <f t="shared" si="74"/>
        <v/>
      </c>
      <c r="H238" s="21" t="str">
        <f t="shared" si="75"/>
        <v/>
      </c>
      <c r="I238" s="21" t="str">
        <f t="shared" si="76"/>
        <v/>
      </c>
      <c r="J238" s="101"/>
      <c r="K238" s="102">
        <f>49894</f>
        <v>49894</v>
      </c>
      <c r="L238" s="102">
        <f>48086</f>
        <v>48086</v>
      </c>
      <c r="M238" s="102">
        <f>48688+1200</f>
        <v>49888</v>
      </c>
      <c r="N238" s="102">
        <f>49291+1200</f>
        <v>50491</v>
      </c>
      <c r="O238" s="102">
        <f>49894+1100</f>
        <v>50994</v>
      </c>
      <c r="P238" s="103">
        <v>2.17</v>
      </c>
      <c r="Q238" s="104"/>
      <c r="R238" s="240">
        <v>250</v>
      </c>
      <c r="S238" s="240">
        <v>125</v>
      </c>
      <c r="T238" s="101"/>
      <c r="U238" s="105">
        <v>200</v>
      </c>
      <c r="V238" s="105">
        <v>100</v>
      </c>
      <c r="W238" s="106" t="s">
        <v>162</v>
      </c>
      <c r="X238" s="106"/>
    </row>
    <row r="239" spans="1:24" ht="12.75" customHeight="1" x14ac:dyDescent="0.25">
      <c r="A239" s="99">
        <v>47700</v>
      </c>
      <c r="B239" s="100" t="s">
        <v>185</v>
      </c>
      <c r="C239" s="20"/>
      <c r="D239" s="21" t="str">
        <f t="shared" si="77"/>
        <v/>
      </c>
      <c r="E239" s="21" t="str">
        <f t="shared" si="72"/>
        <v/>
      </c>
      <c r="F239" s="21" t="str">
        <f t="shared" si="73"/>
        <v/>
      </c>
      <c r="G239" s="21" t="str">
        <f t="shared" si="74"/>
        <v/>
      </c>
      <c r="H239" s="21" t="str">
        <f t="shared" si="75"/>
        <v/>
      </c>
      <c r="I239" s="21" t="str">
        <f t="shared" si="76"/>
        <v/>
      </c>
      <c r="J239" s="101"/>
      <c r="K239" s="102">
        <v>52681</v>
      </c>
      <c r="L239" s="102">
        <v>50803</v>
      </c>
      <c r="M239" s="102">
        <f>51429+1200</f>
        <v>52629</v>
      </c>
      <c r="N239" s="102">
        <f>52055+1200</f>
        <v>53255</v>
      </c>
      <c r="O239" s="102">
        <f>52681+1100</f>
        <v>53781</v>
      </c>
      <c r="P239" s="103">
        <v>2.17</v>
      </c>
      <c r="Q239" s="104"/>
      <c r="R239" s="240">
        <v>250</v>
      </c>
      <c r="S239" s="240">
        <v>125</v>
      </c>
      <c r="T239" s="101"/>
      <c r="U239" s="105">
        <v>200</v>
      </c>
      <c r="V239" s="105">
        <v>100</v>
      </c>
      <c r="W239" s="108" t="s">
        <v>182</v>
      </c>
      <c r="X239" s="108"/>
    </row>
    <row r="240" spans="1:24" ht="12.75" customHeight="1" x14ac:dyDescent="0.25">
      <c r="A240" s="99">
        <v>62900</v>
      </c>
      <c r="B240" s="111" t="s">
        <v>544</v>
      </c>
      <c r="C240" s="20"/>
      <c r="D240" s="21" t="str">
        <f t="shared" si="77"/>
        <v/>
      </c>
      <c r="E240" s="21" t="str">
        <f t="shared" si="72"/>
        <v/>
      </c>
      <c r="F240" s="21" t="str">
        <f t="shared" si="73"/>
        <v/>
      </c>
      <c r="G240" s="21" t="str">
        <f t="shared" si="74"/>
        <v/>
      </c>
      <c r="H240" s="21" t="str">
        <f t="shared" si="75"/>
        <v/>
      </c>
      <c r="I240" s="21" t="str">
        <f t="shared" si="76"/>
        <v/>
      </c>
      <c r="J240" s="101"/>
      <c r="K240" s="102">
        <v>68025</v>
      </c>
      <c r="L240" s="102">
        <v>66772</v>
      </c>
      <c r="M240" s="102">
        <f>67189+1200</f>
        <v>68389</v>
      </c>
      <c r="N240" s="102">
        <f>67607+1200</f>
        <v>68807</v>
      </c>
      <c r="O240" s="102">
        <f>68025+1100</f>
        <v>69125</v>
      </c>
      <c r="P240" s="103">
        <v>2.17</v>
      </c>
      <c r="Q240" s="104">
        <v>200</v>
      </c>
      <c r="R240" s="240">
        <v>250</v>
      </c>
      <c r="S240" s="240">
        <v>125</v>
      </c>
      <c r="T240" s="101"/>
      <c r="U240" s="105">
        <v>350</v>
      </c>
      <c r="V240" s="105">
        <v>100</v>
      </c>
      <c r="W240" s="108" t="s">
        <v>548</v>
      </c>
      <c r="X240" s="108" t="s">
        <v>549</v>
      </c>
    </row>
    <row r="241" spans="1:25" ht="12.75" customHeight="1" x14ac:dyDescent="0.25">
      <c r="A241" s="99">
        <v>64900</v>
      </c>
      <c r="B241" s="111" t="s">
        <v>545</v>
      </c>
      <c r="C241" s="20"/>
      <c r="D241" s="21" t="str">
        <f t="shared" si="77"/>
        <v/>
      </c>
      <c r="E241" s="21" t="str">
        <f t="shared" si="72"/>
        <v/>
      </c>
      <c r="F241" s="21" t="str">
        <f t="shared" si="73"/>
        <v/>
      </c>
      <c r="G241" s="21" t="str">
        <f t="shared" si="74"/>
        <v/>
      </c>
      <c r="H241" s="21" t="str">
        <f t="shared" si="75"/>
        <v/>
      </c>
      <c r="I241" s="21" t="str">
        <f t="shared" si="76"/>
        <v/>
      </c>
      <c r="J241" s="101"/>
      <c r="K241" s="102">
        <v>69923</v>
      </c>
      <c r="L241" s="102">
        <v>68615</v>
      </c>
      <c r="M241" s="102">
        <f>69051+1200</f>
        <v>70251</v>
      </c>
      <c r="N241" s="102">
        <f>69487+1200</f>
        <v>70687</v>
      </c>
      <c r="O241" s="102">
        <f>69923+1100</f>
        <v>71023</v>
      </c>
      <c r="P241" s="103">
        <v>2.17</v>
      </c>
      <c r="Q241" s="104">
        <v>200</v>
      </c>
      <c r="R241" s="240">
        <v>250</v>
      </c>
      <c r="S241" s="240">
        <v>125</v>
      </c>
      <c r="T241" s="101"/>
      <c r="U241" s="105">
        <v>350</v>
      </c>
      <c r="V241" s="105">
        <v>100</v>
      </c>
      <c r="W241" s="108" t="s">
        <v>548</v>
      </c>
      <c r="X241" s="108" t="s">
        <v>549</v>
      </c>
    </row>
    <row r="242" spans="1:25" x14ac:dyDescent="0.25">
      <c r="A242" s="99">
        <v>56900</v>
      </c>
      <c r="B242" s="205" t="s">
        <v>225</v>
      </c>
      <c r="C242" s="20"/>
      <c r="D242" s="21" t="str">
        <f t="shared" si="77"/>
        <v/>
      </c>
      <c r="E242" s="21" t="str">
        <f t="shared" si="72"/>
        <v/>
      </c>
      <c r="F242" s="21" t="str">
        <f t="shared" si="73"/>
        <v/>
      </c>
      <c r="G242" s="21" t="str">
        <f t="shared" si="74"/>
        <v/>
      </c>
      <c r="H242" s="21" t="str">
        <f t="shared" si="75"/>
        <v/>
      </c>
      <c r="I242" s="21" t="str">
        <f t="shared" si="76"/>
        <v/>
      </c>
      <c r="J242" s="101"/>
      <c r="K242" s="102">
        <f>61308</f>
        <v>61308</v>
      </c>
      <c r="L242" s="102">
        <f>59598</f>
        <v>59598</v>
      </c>
      <c r="M242" s="102">
        <f>60168+1200</f>
        <v>61368</v>
      </c>
      <c r="N242" s="102">
        <f>60738+1200</f>
        <v>61938</v>
      </c>
      <c r="O242" s="102">
        <f>61308+1100</f>
        <v>62408</v>
      </c>
      <c r="P242" s="103">
        <v>2.17</v>
      </c>
      <c r="Q242" s="104">
        <v>200</v>
      </c>
      <c r="R242" s="240">
        <v>250</v>
      </c>
      <c r="S242" s="240">
        <v>125</v>
      </c>
      <c r="T242" s="101"/>
      <c r="U242" s="105">
        <v>200</v>
      </c>
      <c r="V242" s="105">
        <v>100</v>
      </c>
      <c r="W242" s="106">
        <v>43817</v>
      </c>
      <c r="X242" s="106" t="s">
        <v>229</v>
      </c>
    </row>
    <row r="243" spans="1:25" x14ac:dyDescent="0.25">
      <c r="A243" s="99">
        <v>60900</v>
      </c>
      <c r="B243" s="205" t="s">
        <v>224</v>
      </c>
      <c r="C243" s="20"/>
      <c r="D243" s="21" t="str">
        <f t="shared" si="77"/>
        <v/>
      </c>
      <c r="E243" s="21" t="str">
        <f t="shared" si="72"/>
        <v/>
      </c>
      <c r="F243" s="21" t="str">
        <f t="shared" si="73"/>
        <v/>
      </c>
      <c r="G243" s="21" t="str">
        <f t="shared" si="74"/>
        <v/>
      </c>
      <c r="H243" s="21" t="str">
        <f t="shared" si="75"/>
        <v/>
      </c>
      <c r="I243" s="21" t="str">
        <f t="shared" si="76"/>
        <v/>
      </c>
      <c r="J243" s="101"/>
      <c r="K243" s="102">
        <v>63907</v>
      </c>
      <c r="L243" s="102">
        <v>62808</v>
      </c>
      <c r="M243" s="102">
        <f>63174+1200</f>
        <v>64374</v>
      </c>
      <c r="N243" s="102">
        <f>63540+1200</f>
        <v>64740</v>
      </c>
      <c r="O243" s="102">
        <f>63907+1100</f>
        <v>65007</v>
      </c>
      <c r="P243" s="103">
        <v>2.17</v>
      </c>
      <c r="Q243" s="104">
        <v>200</v>
      </c>
      <c r="R243" s="240">
        <v>250</v>
      </c>
      <c r="S243" s="240">
        <v>125</v>
      </c>
      <c r="T243" s="101"/>
      <c r="U243" s="105">
        <v>200</v>
      </c>
      <c r="V243" s="105">
        <v>100</v>
      </c>
      <c r="W243" s="108" t="s">
        <v>226</v>
      </c>
      <c r="X243" s="108" t="s">
        <v>228</v>
      </c>
    </row>
    <row r="244" spans="1:25" x14ac:dyDescent="0.25">
      <c r="A244" s="99">
        <v>60900</v>
      </c>
      <c r="B244" s="100" t="s">
        <v>161</v>
      </c>
      <c r="C244" s="20"/>
      <c r="D244" s="21" t="str">
        <f t="shared" si="77"/>
        <v/>
      </c>
      <c r="E244" s="21" t="str">
        <f t="shared" si="72"/>
        <v/>
      </c>
      <c r="F244" s="21" t="str">
        <f t="shared" si="73"/>
        <v/>
      </c>
      <c r="G244" s="21" t="str">
        <f t="shared" si="74"/>
        <v/>
      </c>
      <c r="H244" s="21" t="str">
        <f t="shared" si="75"/>
        <v/>
      </c>
      <c r="I244" s="21" t="str">
        <f t="shared" si="76"/>
        <v/>
      </c>
      <c r="J244" s="101"/>
      <c r="K244" s="102">
        <f>65246</f>
        <v>65246</v>
      </c>
      <c r="L244" s="102">
        <f>63425</f>
        <v>63425</v>
      </c>
      <c r="M244" s="102">
        <f>64302+1200</f>
        <v>65502</v>
      </c>
      <c r="N244" s="102">
        <f>64639+1200</f>
        <v>65839</v>
      </c>
      <c r="O244" s="102">
        <f>65246+1100</f>
        <v>66346</v>
      </c>
      <c r="P244" s="103">
        <v>2.17</v>
      </c>
      <c r="Q244" s="104">
        <v>200</v>
      </c>
      <c r="R244" s="240">
        <v>250</v>
      </c>
      <c r="S244" s="240">
        <v>125</v>
      </c>
      <c r="T244" s="101"/>
      <c r="U244" s="105">
        <v>200</v>
      </c>
      <c r="V244" s="105">
        <v>100</v>
      </c>
      <c r="W244" s="106" t="s">
        <v>162</v>
      </c>
      <c r="X244" s="106"/>
    </row>
    <row r="245" spans="1:25" ht="12.75" customHeight="1" x14ac:dyDescent="0.25">
      <c r="A245" s="99">
        <v>73900</v>
      </c>
      <c r="B245" s="212" t="s">
        <v>339</v>
      </c>
      <c r="C245" s="20"/>
      <c r="D245" s="21" t="str">
        <f t="shared" si="77"/>
        <v/>
      </c>
      <c r="E245" s="21" t="str">
        <f t="shared" si="72"/>
        <v/>
      </c>
      <c r="F245" s="21" t="str">
        <f t="shared" si="73"/>
        <v/>
      </c>
      <c r="G245" s="21" t="str">
        <f t="shared" si="74"/>
        <v/>
      </c>
      <c r="H245" s="21" t="str">
        <f t="shared" si="75"/>
        <v/>
      </c>
      <c r="I245" s="21" t="str">
        <f t="shared" si="76"/>
        <v/>
      </c>
      <c r="J245" s="101"/>
      <c r="K245" s="102">
        <f>78926</f>
        <v>78926</v>
      </c>
      <c r="L245" s="102">
        <f>77547</f>
        <v>77547</v>
      </c>
      <c r="M245" s="102">
        <f>78006+1200</f>
        <v>79206</v>
      </c>
      <c r="N245" s="102">
        <f>78466+1200</f>
        <v>79666</v>
      </c>
      <c r="O245" s="102">
        <f>78926+1100</f>
        <v>80026</v>
      </c>
      <c r="P245" s="103">
        <v>2.17</v>
      </c>
      <c r="Q245" s="104">
        <v>200</v>
      </c>
      <c r="R245" s="240">
        <v>250</v>
      </c>
      <c r="S245" s="240">
        <v>125</v>
      </c>
      <c r="T245" s="101"/>
      <c r="U245" s="105">
        <v>200</v>
      </c>
      <c r="V245" s="105">
        <v>100</v>
      </c>
      <c r="W245" s="108" t="s">
        <v>422</v>
      </c>
      <c r="X245" s="106" t="s">
        <v>424</v>
      </c>
      <c r="Y245" s="207"/>
    </row>
    <row r="246" spans="1:25" ht="12.75" customHeight="1" x14ac:dyDescent="0.25">
      <c r="A246" s="99">
        <v>66900</v>
      </c>
      <c r="B246" s="212" t="s">
        <v>251</v>
      </c>
      <c r="C246" s="20"/>
      <c r="D246" s="21" t="str">
        <f t="shared" si="77"/>
        <v/>
      </c>
      <c r="E246" s="21" t="str">
        <f t="shared" si="72"/>
        <v/>
      </c>
      <c r="F246" s="21" t="str">
        <f t="shared" si="73"/>
        <v/>
      </c>
      <c r="G246" s="21" t="str">
        <f t="shared" si="74"/>
        <v/>
      </c>
      <c r="H246" s="21" t="str">
        <f t="shared" si="75"/>
        <v/>
      </c>
      <c r="I246" s="21" t="str">
        <f t="shared" si="76"/>
        <v/>
      </c>
      <c r="J246" s="101"/>
      <c r="K246" s="102">
        <v>69512</v>
      </c>
      <c r="L246" s="102">
        <v>68118</v>
      </c>
      <c r="M246" s="102">
        <f>69589+240</f>
        <v>69829</v>
      </c>
      <c r="N246" s="102">
        <f>70030+240</f>
        <v>70270</v>
      </c>
      <c r="O246" s="102">
        <f>70372+240</f>
        <v>70612</v>
      </c>
      <c r="P246" s="103">
        <v>2.17</v>
      </c>
      <c r="Q246" s="104"/>
      <c r="R246" s="240">
        <v>250</v>
      </c>
      <c r="S246" s="240">
        <v>125</v>
      </c>
      <c r="T246" s="101"/>
      <c r="U246" s="105">
        <v>200</v>
      </c>
      <c r="V246" s="105">
        <v>100</v>
      </c>
      <c r="W246" s="108" t="s">
        <v>252</v>
      </c>
      <c r="X246" s="106"/>
      <c r="Y246" s="207" t="s">
        <v>253</v>
      </c>
    </row>
    <row r="247" spans="1:25" ht="12.75" customHeight="1" x14ac:dyDescent="0.25">
      <c r="A247" s="99">
        <v>70900</v>
      </c>
      <c r="B247" s="212" t="s">
        <v>296</v>
      </c>
      <c r="C247" s="20"/>
      <c r="D247" s="21" t="str">
        <f t="shared" si="77"/>
        <v/>
      </c>
      <c r="E247" s="21" t="str">
        <f t="shared" si="72"/>
        <v/>
      </c>
      <c r="F247" s="21" t="str">
        <f t="shared" si="73"/>
        <v/>
      </c>
      <c r="G247" s="21" t="str">
        <f t="shared" si="74"/>
        <v/>
      </c>
      <c r="H247" s="21" t="str">
        <f t="shared" si="75"/>
        <v/>
      </c>
      <c r="I247" s="21" t="str">
        <f t="shared" si="76"/>
        <v/>
      </c>
      <c r="J247" s="101"/>
      <c r="K247" s="102">
        <v>75212</v>
      </c>
      <c r="L247" s="102">
        <f>73818</f>
        <v>73818</v>
      </c>
      <c r="M247" s="102">
        <f>74282+1200</f>
        <v>75482</v>
      </c>
      <c r="N247" s="102">
        <f>74747+1200</f>
        <v>75947</v>
      </c>
      <c r="O247" s="102">
        <f>75212+1100</f>
        <v>76312</v>
      </c>
      <c r="P247" s="103">
        <v>2.17</v>
      </c>
      <c r="Q247" s="104"/>
      <c r="R247" s="240">
        <v>250</v>
      </c>
      <c r="S247" s="240">
        <v>125</v>
      </c>
      <c r="T247" s="101"/>
      <c r="U247" s="105">
        <v>200</v>
      </c>
      <c r="V247" s="105">
        <v>100</v>
      </c>
      <c r="W247" s="108" t="s">
        <v>422</v>
      </c>
      <c r="X247" s="106" t="s">
        <v>423</v>
      </c>
    </row>
    <row r="248" spans="1:25" ht="12.75" customHeight="1" x14ac:dyDescent="0.25">
      <c r="A248" s="99">
        <v>70900</v>
      </c>
      <c r="B248" s="212" t="s">
        <v>338</v>
      </c>
      <c r="C248" s="20"/>
      <c r="D248" s="21" t="str">
        <f t="shared" si="77"/>
        <v/>
      </c>
      <c r="E248" s="21" t="str">
        <f t="shared" si="72"/>
        <v/>
      </c>
      <c r="F248" s="21" t="str">
        <f t="shared" si="73"/>
        <v/>
      </c>
      <c r="G248" s="21" t="str">
        <f t="shared" si="74"/>
        <v/>
      </c>
      <c r="H248" s="21" t="str">
        <f t="shared" si="75"/>
        <v/>
      </c>
      <c r="I248" s="21" t="str">
        <f t="shared" si="76"/>
        <v/>
      </c>
      <c r="J248" s="101"/>
      <c r="K248" s="102">
        <v>75212</v>
      </c>
      <c r="L248" s="102">
        <f>73818</f>
        <v>73818</v>
      </c>
      <c r="M248" s="102">
        <f>74282+1200</f>
        <v>75482</v>
      </c>
      <c r="N248" s="102">
        <f>74747+1200</f>
        <v>75947</v>
      </c>
      <c r="O248" s="102">
        <f>75212+1100</f>
        <v>76312</v>
      </c>
      <c r="P248" s="103">
        <v>2.17</v>
      </c>
      <c r="Q248" s="104"/>
      <c r="R248" s="240">
        <v>250</v>
      </c>
      <c r="S248" s="240">
        <v>125</v>
      </c>
      <c r="T248" s="101"/>
      <c r="U248" s="105">
        <v>200</v>
      </c>
      <c r="V248" s="105">
        <v>100</v>
      </c>
      <c r="W248" s="108" t="s">
        <v>422</v>
      </c>
      <c r="X248" s="106" t="s">
        <v>423</v>
      </c>
      <c r="Y248" s="221"/>
    </row>
    <row r="249" spans="1:25" ht="12.75" customHeight="1" x14ac:dyDescent="0.25">
      <c r="A249" s="99">
        <v>74400</v>
      </c>
      <c r="B249" s="212" t="s">
        <v>518</v>
      </c>
      <c r="C249" s="20"/>
      <c r="D249" s="21" t="str">
        <f t="shared" si="77"/>
        <v/>
      </c>
      <c r="E249" s="21" t="str">
        <f t="shared" si="72"/>
        <v/>
      </c>
      <c r="F249" s="21" t="str">
        <f t="shared" si="73"/>
        <v/>
      </c>
      <c r="G249" s="21" t="str">
        <f t="shared" si="74"/>
        <v/>
      </c>
      <c r="H249" s="21" t="str">
        <f t="shared" si="75"/>
        <v/>
      </c>
      <c r="I249" s="21" t="str">
        <f t="shared" si="76"/>
        <v/>
      </c>
      <c r="J249" s="101"/>
      <c r="K249" s="102">
        <v>79163</v>
      </c>
      <c r="L249" s="102">
        <v>77655</v>
      </c>
      <c r="M249" s="102">
        <f>78157+1200</f>
        <v>79357</v>
      </c>
      <c r="N249" s="102">
        <f>78660+1200</f>
        <v>79860</v>
      </c>
      <c r="O249" s="102">
        <f>79163+1100</f>
        <v>80263</v>
      </c>
      <c r="P249" s="103">
        <v>2.17</v>
      </c>
      <c r="Q249" s="104"/>
      <c r="R249" s="240">
        <v>250</v>
      </c>
      <c r="S249" s="240">
        <v>125</v>
      </c>
      <c r="T249" s="101"/>
      <c r="U249" s="105">
        <v>200</v>
      </c>
      <c r="V249" s="105">
        <v>100</v>
      </c>
      <c r="W249" s="108" t="s">
        <v>514</v>
      </c>
      <c r="X249" s="106" t="s">
        <v>519</v>
      </c>
      <c r="Y249" s="221"/>
    </row>
    <row r="250" spans="1:25" ht="12.75" customHeight="1" x14ac:dyDescent="0.25">
      <c r="A250" s="99">
        <v>72400</v>
      </c>
      <c r="B250" s="212" t="s">
        <v>513</v>
      </c>
      <c r="C250" s="20"/>
      <c r="D250" s="21" t="str">
        <f t="shared" si="77"/>
        <v/>
      </c>
      <c r="E250" s="21" t="str">
        <f t="shared" si="72"/>
        <v/>
      </c>
      <c r="F250" s="21" t="str">
        <f t="shared" si="73"/>
        <v/>
      </c>
      <c r="G250" s="21" t="str">
        <f t="shared" si="74"/>
        <v/>
      </c>
      <c r="H250" s="21" t="str">
        <f t="shared" si="75"/>
        <v/>
      </c>
      <c r="I250" s="21" t="str">
        <f t="shared" si="76"/>
        <v/>
      </c>
      <c r="J250" s="101"/>
      <c r="K250" s="102">
        <v>77231</v>
      </c>
      <c r="L250" s="102">
        <f>75760</f>
        <v>75760</v>
      </c>
      <c r="M250" s="102">
        <f>76250+1200</f>
        <v>77450</v>
      </c>
      <c r="N250" s="102">
        <f>76740+1200</f>
        <v>77940</v>
      </c>
      <c r="O250" s="102">
        <f>77231+1100</f>
        <v>78331</v>
      </c>
      <c r="P250" s="103">
        <v>2.17</v>
      </c>
      <c r="Q250" s="104"/>
      <c r="R250" s="240">
        <v>250</v>
      </c>
      <c r="S250" s="240">
        <v>125</v>
      </c>
      <c r="T250" s="101"/>
      <c r="U250" s="105">
        <v>200</v>
      </c>
      <c r="V250" s="105">
        <v>100</v>
      </c>
      <c r="W250" s="108" t="s">
        <v>514</v>
      </c>
      <c r="X250" s="106" t="s">
        <v>515</v>
      </c>
      <c r="Y250" s="221"/>
    </row>
    <row r="251" spans="1:25" ht="12.75" customHeight="1" x14ac:dyDescent="0.25">
      <c r="A251" s="99">
        <v>71400</v>
      </c>
      <c r="B251" s="212" t="s">
        <v>516</v>
      </c>
      <c r="C251" s="20"/>
      <c r="D251" s="21" t="str">
        <f t="shared" si="77"/>
        <v/>
      </c>
      <c r="E251" s="21" t="str">
        <f t="shared" si="72"/>
        <v/>
      </c>
      <c r="F251" s="21" t="str">
        <f t="shared" si="73"/>
        <v/>
      </c>
      <c r="G251" s="21" t="str">
        <f t="shared" si="74"/>
        <v/>
      </c>
      <c r="H251" s="21" t="str">
        <f t="shared" si="75"/>
        <v/>
      </c>
      <c r="I251" s="21" t="str">
        <f t="shared" si="76"/>
        <v/>
      </c>
      <c r="J251" s="101"/>
      <c r="K251" s="102">
        <v>76265</v>
      </c>
      <c r="L251" s="102">
        <v>74813</v>
      </c>
      <c r="M251" s="102">
        <f>75297+1200</f>
        <v>76497</v>
      </c>
      <c r="N251" s="102">
        <f>75781+1200</f>
        <v>76981</v>
      </c>
      <c r="O251" s="102">
        <f>76265+1100</f>
        <v>77365</v>
      </c>
      <c r="P251" s="103">
        <v>2.17</v>
      </c>
      <c r="Q251" s="104"/>
      <c r="R251" s="240">
        <v>250</v>
      </c>
      <c r="S251" s="240">
        <v>125</v>
      </c>
      <c r="T251" s="101"/>
      <c r="U251" s="105">
        <v>200</v>
      </c>
      <c r="V251" s="105">
        <v>100</v>
      </c>
      <c r="W251" s="108" t="s">
        <v>514</v>
      </c>
      <c r="X251" s="106" t="s">
        <v>517</v>
      </c>
      <c r="Y251" s="221"/>
    </row>
    <row r="252" spans="1:25" ht="12.75" customHeight="1" x14ac:dyDescent="0.25">
      <c r="A252" s="99">
        <v>73400</v>
      </c>
      <c r="B252" s="212" t="s">
        <v>579</v>
      </c>
      <c r="C252" s="20"/>
      <c r="D252" s="21" t="str">
        <f t="shared" si="77"/>
        <v/>
      </c>
      <c r="E252" s="21" t="str">
        <f t="shared" si="72"/>
        <v/>
      </c>
      <c r="F252" s="21" t="str">
        <f t="shared" si="73"/>
        <v/>
      </c>
      <c r="G252" s="21" t="str">
        <f t="shared" si="74"/>
        <v/>
      </c>
      <c r="H252" s="21" t="str">
        <f t="shared" si="75"/>
        <v/>
      </c>
      <c r="I252" s="21" t="str">
        <f t="shared" si="76"/>
        <v/>
      </c>
      <c r="J252" s="101"/>
      <c r="K252" s="102">
        <f>78581</f>
        <v>78581</v>
      </c>
      <c r="L252" s="102">
        <f>77110</f>
        <v>77110</v>
      </c>
      <c r="M252" s="102">
        <f>77600+1200</f>
        <v>78800</v>
      </c>
      <c r="N252" s="102">
        <f>78090+1200</f>
        <v>79290</v>
      </c>
      <c r="O252" s="102">
        <f>78581+1100</f>
        <v>79681</v>
      </c>
      <c r="P252" s="103">
        <v>2.17</v>
      </c>
      <c r="Q252" s="104">
        <v>200</v>
      </c>
      <c r="R252" s="240">
        <v>250</v>
      </c>
      <c r="S252" s="240">
        <v>125</v>
      </c>
      <c r="T252" s="101"/>
      <c r="U252" s="105">
        <v>200</v>
      </c>
      <c r="V252" s="105">
        <v>100</v>
      </c>
      <c r="W252" s="108" t="s">
        <v>697</v>
      </c>
      <c r="X252" s="106" t="s">
        <v>698</v>
      </c>
      <c r="Y252" s="221"/>
    </row>
    <row r="253" spans="1:25" ht="12.75" customHeight="1" x14ac:dyDescent="0.25">
      <c r="A253" s="99">
        <v>71900</v>
      </c>
      <c r="B253" s="212" t="s">
        <v>580</v>
      </c>
      <c r="C253" s="20"/>
      <c r="D253" s="21" t="str">
        <f t="shared" si="77"/>
        <v/>
      </c>
      <c r="E253" s="21" t="str">
        <f t="shared" si="72"/>
        <v/>
      </c>
      <c r="F253" s="21" t="str">
        <f t="shared" si="73"/>
        <v/>
      </c>
      <c r="G253" s="21" t="str">
        <f t="shared" si="74"/>
        <v/>
      </c>
      <c r="H253" s="21" t="str">
        <f t="shared" si="75"/>
        <v/>
      </c>
      <c r="I253" s="21" t="str">
        <f t="shared" si="76"/>
        <v/>
      </c>
      <c r="J253" s="101"/>
      <c r="K253" s="102">
        <f>77115</f>
        <v>77115</v>
      </c>
      <c r="L253" s="102">
        <f>75663</f>
        <v>75663</v>
      </c>
      <c r="M253" s="102">
        <f>76147+1200</f>
        <v>77347</v>
      </c>
      <c r="N253" s="102">
        <f>76631+1200</f>
        <v>77831</v>
      </c>
      <c r="O253" s="102">
        <f>77115+1100</f>
        <v>78215</v>
      </c>
      <c r="P253" s="103">
        <v>2.17</v>
      </c>
      <c r="Q253" s="104">
        <v>200</v>
      </c>
      <c r="R253" s="240">
        <v>250</v>
      </c>
      <c r="S253" s="240">
        <v>125</v>
      </c>
      <c r="T253" s="101"/>
      <c r="U253" s="105">
        <v>200</v>
      </c>
      <c r="V253" s="105">
        <v>100</v>
      </c>
      <c r="W253" s="108" t="s">
        <v>702</v>
      </c>
      <c r="X253" s="106" t="s">
        <v>703</v>
      </c>
      <c r="Y253" s="221"/>
    </row>
    <row r="254" spans="1:25" ht="12.75" customHeight="1" x14ac:dyDescent="0.25">
      <c r="A254" s="99">
        <v>74400</v>
      </c>
      <c r="B254" s="212" t="s">
        <v>708</v>
      </c>
      <c r="C254" s="20">
        <v>20000</v>
      </c>
      <c r="D254" s="21">
        <f t="shared" si="77"/>
        <v>11673.074366666666</v>
      </c>
      <c r="E254" s="21">
        <f t="shared" si="72"/>
        <v>6582.9910333333328</v>
      </c>
      <c r="F254" s="21">
        <f t="shared" si="73"/>
        <v>4927.9632555555554</v>
      </c>
      <c r="G254" s="21">
        <f t="shared" si="74"/>
        <v>4100.4493666666658</v>
      </c>
      <c r="H254" s="21">
        <f t="shared" si="75"/>
        <v>3603.9410333333331</v>
      </c>
      <c r="I254" s="21">
        <f t="shared" si="76"/>
        <v>3272.935477777778</v>
      </c>
      <c r="J254" s="101"/>
      <c r="K254" s="102">
        <f>79581</f>
        <v>79581</v>
      </c>
      <c r="L254" s="102">
        <f>78402</f>
        <v>78402</v>
      </c>
      <c r="M254" s="102">
        <f>78795+1200</f>
        <v>79995</v>
      </c>
      <c r="N254" s="102">
        <f>79188+1200</f>
        <v>80388</v>
      </c>
      <c r="O254" s="102">
        <f>79581+1100</f>
        <v>80681</v>
      </c>
      <c r="P254" s="103">
        <v>2.17</v>
      </c>
      <c r="Q254" s="104">
        <v>200</v>
      </c>
      <c r="R254" s="240">
        <v>250</v>
      </c>
      <c r="S254" s="240">
        <v>125</v>
      </c>
      <c r="T254" s="101"/>
      <c r="U254" s="105">
        <v>200</v>
      </c>
      <c r="V254" s="105">
        <v>100</v>
      </c>
      <c r="W254" s="108" t="s">
        <v>709</v>
      </c>
      <c r="X254" s="106" t="s">
        <v>710</v>
      </c>
      <c r="Y254" s="221"/>
    </row>
    <row r="255" spans="1:25" ht="12.75" customHeight="1" x14ac:dyDescent="0.25">
      <c r="A255" s="99">
        <v>72400</v>
      </c>
      <c r="B255" s="212" t="s">
        <v>711</v>
      </c>
      <c r="C255" s="20">
        <v>20000</v>
      </c>
      <c r="D255" s="21">
        <f t="shared" si="77"/>
        <v>11312.540566666665</v>
      </c>
      <c r="E255" s="21">
        <f t="shared" si="72"/>
        <v>6381.9572333333335</v>
      </c>
      <c r="F255" s="21">
        <f t="shared" si="73"/>
        <v>4780.0961222222222</v>
      </c>
      <c r="G255" s="21">
        <f t="shared" si="74"/>
        <v>3979.1655666666666</v>
      </c>
      <c r="H255" s="21">
        <f t="shared" si="75"/>
        <v>3498.6072333333332</v>
      </c>
      <c r="I255" s="21">
        <f t="shared" si="76"/>
        <v>3178.2350111111114</v>
      </c>
      <c r="J255" s="101"/>
      <c r="K255" s="102">
        <f>77667</f>
        <v>77667</v>
      </c>
      <c r="L255" s="102">
        <f>76535</f>
        <v>76535</v>
      </c>
      <c r="M255" s="102">
        <f>76912+1200</f>
        <v>78112</v>
      </c>
      <c r="N255" s="102">
        <f>77290+1200</f>
        <v>78490</v>
      </c>
      <c r="O255" s="102">
        <f>77667+1100</f>
        <v>78767</v>
      </c>
      <c r="P255" s="103">
        <v>2.17</v>
      </c>
      <c r="Q255" s="104">
        <v>200</v>
      </c>
      <c r="R255" s="240">
        <v>250</v>
      </c>
      <c r="S255" s="240">
        <v>125</v>
      </c>
      <c r="T255" s="101"/>
      <c r="U255" s="105">
        <v>200</v>
      </c>
      <c r="V255" s="105">
        <v>100</v>
      </c>
      <c r="W255" s="108" t="s">
        <v>709</v>
      </c>
      <c r="X255" s="106" t="s">
        <v>712</v>
      </c>
      <c r="Y255" s="221"/>
    </row>
    <row r="256" spans="1:25" x14ac:dyDescent="0.25">
      <c r="A256" s="99">
        <v>98800</v>
      </c>
      <c r="B256" s="110" t="s">
        <v>151</v>
      </c>
      <c r="C256" s="20"/>
      <c r="D256" s="21" t="str">
        <f t="shared" si="77"/>
        <v/>
      </c>
      <c r="E256" s="21" t="str">
        <f t="shared" si="72"/>
        <v/>
      </c>
      <c r="F256" s="21" t="str">
        <f t="shared" si="73"/>
        <v/>
      </c>
      <c r="G256" s="21" t="str">
        <f t="shared" si="74"/>
        <v/>
      </c>
      <c r="H256" s="21" t="str">
        <f t="shared" si="75"/>
        <v/>
      </c>
      <c r="I256" s="21" t="str">
        <f t="shared" si="76"/>
        <v/>
      </c>
      <c r="J256" s="101"/>
      <c r="K256" s="102">
        <v>101064</v>
      </c>
      <c r="L256" s="102">
        <v>99116</v>
      </c>
      <c r="M256" s="102">
        <f>99765+1200</f>
        <v>100965</v>
      </c>
      <c r="N256" s="102">
        <f>100414+1200</f>
        <v>101614</v>
      </c>
      <c r="O256" s="102">
        <f>101064+1100</f>
        <v>102164</v>
      </c>
      <c r="P256" s="103">
        <v>2.17</v>
      </c>
      <c r="Q256" s="104">
        <v>200</v>
      </c>
      <c r="R256" s="240">
        <v>250</v>
      </c>
      <c r="S256" s="240">
        <v>125</v>
      </c>
      <c r="T256" s="101"/>
      <c r="U256" s="105">
        <v>200</v>
      </c>
      <c r="V256" s="105">
        <v>100</v>
      </c>
      <c r="W256" s="106">
        <v>43335</v>
      </c>
      <c r="X256" s="106"/>
    </row>
    <row r="257" spans="1:24" x14ac:dyDescent="0.25">
      <c r="A257" s="99">
        <v>173900</v>
      </c>
      <c r="B257" s="211" t="s">
        <v>368</v>
      </c>
      <c r="C257" s="20"/>
      <c r="D257" s="21" t="str">
        <f t="shared" si="77"/>
        <v/>
      </c>
      <c r="E257" s="21" t="str">
        <f t="shared" si="72"/>
        <v/>
      </c>
      <c r="F257" s="21" t="str">
        <f t="shared" si="73"/>
        <v/>
      </c>
      <c r="G257" s="21" t="str">
        <f t="shared" si="74"/>
        <v/>
      </c>
      <c r="H257" s="21" t="str">
        <f t="shared" si="75"/>
        <v/>
      </c>
      <c r="I257" s="21" t="str">
        <f t="shared" si="76"/>
        <v/>
      </c>
      <c r="J257" s="101"/>
      <c r="K257" s="102">
        <v>178719</v>
      </c>
      <c r="L257" s="102">
        <v>175180</v>
      </c>
      <c r="M257" s="102">
        <f>176359+1200</f>
        <v>177559</v>
      </c>
      <c r="N257" s="102">
        <f>177539+1200</f>
        <v>178739</v>
      </c>
      <c r="O257" s="102">
        <f>178719+1100</f>
        <v>179819</v>
      </c>
      <c r="P257" s="103">
        <v>2.17</v>
      </c>
      <c r="Q257" s="104">
        <v>200</v>
      </c>
      <c r="R257" s="240">
        <v>250</v>
      </c>
      <c r="S257" s="240">
        <v>125</v>
      </c>
      <c r="T257" s="101"/>
      <c r="U257" s="105">
        <v>350</v>
      </c>
      <c r="V257" s="105">
        <v>100</v>
      </c>
      <c r="W257" s="108" t="s">
        <v>427</v>
      </c>
      <c r="X257" s="106" t="s">
        <v>433</v>
      </c>
    </row>
    <row r="258" spans="1:24" x14ac:dyDescent="0.25">
      <c r="A258" s="99">
        <v>150000</v>
      </c>
      <c r="B258" s="100" t="s">
        <v>130</v>
      </c>
      <c r="C258" s="20"/>
      <c r="D258" s="21" t="str">
        <f t="shared" si="77"/>
        <v/>
      </c>
      <c r="E258" s="21" t="str">
        <f t="shared" si="72"/>
        <v/>
      </c>
      <c r="F258" s="21" t="str">
        <f t="shared" si="73"/>
        <v/>
      </c>
      <c r="G258" s="21" t="str">
        <f t="shared" si="74"/>
        <v/>
      </c>
      <c r="H258" s="21" t="str">
        <f t="shared" si="75"/>
        <v/>
      </c>
      <c r="I258" s="21" t="str">
        <f t="shared" si="76"/>
        <v/>
      </c>
      <c r="J258" s="101"/>
      <c r="K258" s="102">
        <f>154382</f>
        <v>154382</v>
      </c>
      <c r="L258" s="102">
        <v>150000</v>
      </c>
      <c r="M258" s="102">
        <f>151460+1200</f>
        <v>152660</v>
      </c>
      <c r="N258" s="102">
        <f>152921+1200</f>
        <v>154121</v>
      </c>
      <c r="O258" s="102">
        <f>154382+1100</f>
        <v>155482</v>
      </c>
      <c r="P258" s="103">
        <v>2.17</v>
      </c>
      <c r="Q258" s="104">
        <v>200</v>
      </c>
      <c r="R258" s="240">
        <v>250</v>
      </c>
      <c r="S258" s="240">
        <v>125</v>
      </c>
      <c r="T258" s="101"/>
      <c r="U258" s="105">
        <v>200</v>
      </c>
      <c r="V258" s="105">
        <v>100</v>
      </c>
      <c r="W258" s="106" t="s">
        <v>162</v>
      </c>
      <c r="X258" s="106"/>
    </row>
    <row r="259" spans="1:24" x14ac:dyDescent="0.25">
      <c r="A259" s="99">
        <v>155000</v>
      </c>
      <c r="B259" s="100" t="s">
        <v>164</v>
      </c>
      <c r="C259" s="20"/>
      <c r="D259" s="21" t="str">
        <f t="shared" si="77"/>
        <v/>
      </c>
      <c r="E259" s="21" t="str">
        <f t="shared" si="72"/>
        <v/>
      </c>
      <c r="F259" s="21" t="str">
        <f t="shared" si="73"/>
        <v/>
      </c>
      <c r="G259" s="21" t="str">
        <f t="shared" si="74"/>
        <v/>
      </c>
      <c r="H259" s="21" t="str">
        <f t="shared" si="75"/>
        <v/>
      </c>
      <c r="I259" s="21" t="str">
        <f t="shared" si="76"/>
        <v/>
      </c>
      <c r="J259" s="101"/>
      <c r="K259" s="102">
        <f>159350</f>
        <v>159350</v>
      </c>
      <c r="L259" s="102">
        <f>154973</f>
        <v>154973</v>
      </c>
      <c r="M259" s="102">
        <f>156432+1200</f>
        <v>157632</v>
      </c>
      <c r="N259" s="102">
        <f>157891+1200</f>
        <v>159091</v>
      </c>
      <c r="O259" s="102">
        <f>159350+1100</f>
        <v>160450</v>
      </c>
      <c r="P259" s="103">
        <v>2.17</v>
      </c>
      <c r="Q259" s="104">
        <v>200</v>
      </c>
      <c r="R259" s="240">
        <v>250</v>
      </c>
      <c r="S259" s="240">
        <v>125</v>
      </c>
      <c r="T259" s="101"/>
      <c r="U259" s="105">
        <v>200</v>
      </c>
      <c r="V259" s="105">
        <v>100</v>
      </c>
      <c r="W259" s="106" t="s">
        <v>162</v>
      </c>
      <c r="X259" s="106"/>
    </row>
    <row r="260" spans="1:24" x14ac:dyDescent="0.25">
      <c r="A260" s="99">
        <v>165000</v>
      </c>
      <c r="B260" s="100" t="s">
        <v>220</v>
      </c>
      <c r="C260" s="20"/>
      <c r="D260" s="21" t="str">
        <f t="shared" si="77"/>
        <v/>
      </c>
      <c r="E260" s="21" t="str">
        <f t="shared" si="72"/>
        <v/>
      </c>
      <c r="F260" s="21" t="str">
        <f t="shared" si="73"/>
        <v/>
      </c>
      <c r="G260" s="21" t="str">
        <f t="shared" si="74"/>
        <v/>
      </c>
      <c r="H260" s="21" t="str">
        <f t="shared" si="75"/>
        <v/>
      </c>
      <c r="I260" s="21" t="str">
        <f t="shared" si="76"/>
        <v/>
      </c>
      <c r="J260" s="101"/>
      <c r="K260" s="102">
        <v>166456</v>
      </c>
      <c r="L260" s="102">
        <v>165200</v>
      </c>
      <c r="M260" s="102">
        <f>165618+1200</f>
        <v>166818</v>
      </c>
      <c r="N260" s="102">
        <f>166037+1200</f>
        <v>167237</v>
      </c>
      <c r="O260" s="102">
        <f>166456+1100</f>
        <v>167556</v>
      </c>
      <c r="P260" s="103">
        <v>2.17</v>
      </c>
      <c r="Q260" s="104">
        <v>200</v>
      </c>
      <c r="R260" s="240">
        <v>250</v>
      </c>
      <c r="S260" s="240">
        <v>125</v>
      </c>
      <c r="T260" s="101"/>
      <c r="U260" s="105">
        <v>350</v>
      </c>
      <c r="V260" s="105">
        <v>100</v>
      </c>
      <c r="W260" s="108" t="s">
        <v>243</v>
      </c>
      <c r="X260" s="106" t="s">
        <v>246</v>
      </c>
    </row>
    <row r="261" spans="1:24" x14ac:dyDescent="0.25">
      <c r="A261" s="99">
        <v>152900</v>
      </c>
      <c r="B261" s="201" t="s">
        <v>217</v>
      </c>
      <c r="C261" s="20"/>
      <c r="D261" s="21" t="str">
        <f t="shared" si="77"/>
        <v/>
      </c>
      <c r="E261" s="21" t="str">
        <f t="shared" si="72"/>
        <v/>
      </c>
      <c r="F261" s="21" t="str">
        <f t="shared" si="73"/>
        <v/>
      </c>
      <c r="G261" s="21" t="str">
        <f t="shared" si="74"/>
        <v/>
      </c>
      <c r="H261" s="21" t="str">
        <f t="shared" si="75"/>
        <v/>
      </c>
      <c r="I261" s="21" t="str">
        <f t="shared" si="76"/>
        <v/>
      </c>
      <c r="J261" s="101"/>
      <c r="K261" s="102">
        <v>157264</v>
      </c>
      <c r="L261" s="102">
        <v>152904</v>
      </c>
      <c r="M261" s="102">
        <f>154357+1200</f>
        <v>155557</v>
      </c>
      <c r="N261" s="102">
        <f>155810+1200</f>
        <v>157010</v>
      </c>
      <c r="O261" s="102">
        <f>157264+1100</f>
        <v>158364</v>
      </c>
      <c r="P261" s="103">
        <v>2.17</v>
      </c>
      <c r="Q261" s="104">
        <v>200</v>
      </c>
      <c r="R261" s="240">
        <v>250</v>
      </c>
      <c r="S261" s="240">
        <v>125</v>
      </c>
      <c r="T261" s="101"/>
      <c r="U261" s="105">
        <v>200</v>
      </c>
      <c r="V261" s="105">
        <v>50</v>
      </c>
      <c r="W261" s="108" t="s">
        <v>201</v>
      </c>
      <c r="X261" s="106"/>
    </row>
    <row r="262" spans="1:24" x14ac:dyDescent="0.25">
      <c r="A262" s="99">
        <v>167900</v>
      </c>
      <c r="B262" s="201" t="s">
        <v>324</v>
      </c>
      <c r="C262" s="20"/>
      <c r="D262" s="21" t="str">
        <f t="shared" si="77"/>
        <v/>
      </c>
      <c r="E262" s="21" t="str">
        <f t="shared" si="72"/>
        <v/>
      </c>
      <c r="F262" s="21" t="str">
        <f t="shared" si="73"/>
        <v/>
      </c>
      <c r="G262" s="21" t="str">
        <f t="shared" si="74"/>
        <v/>
      </c>
      <c r="H262" s="21" t="str">
        <f t="shared" si="75"/>
        <v/>
      </c>
      <c r="I262" s="21" t="str">
        <f t="shared" si="76"/>
        <v/>
      </c>
      <c r="J262" s="101"/>
      <c r="K262" s="102">
        <v>172719</v>
      </c>
      <c r="L262" s="102">
        <v>169180</v>
      </c>
      <c r="M262" s="102">
        <f>170359+1200</f>
        <v>171559</v>
      </c>
      <c r="N262" s="102">
        <f>171539+1200</f>
        <v>172739</v>
      </c>
      <c r="O262" s="102">
        <f>172719+1100</f>
        <v>173819</v>
      </c>
      <c r="P262" s="103">
        <v>2.17</v>
      </c>
      <c r="Q262" s="104">
        <v>200</v>
      </c>
      <c r="R262" s="240">
        <v>250</v>
      </c>
      <c r="S262" s="240">
        <v>125</v>
      </c>
      <c r="T262" s="101"/>
      <c r="U262" s="105">
        <v>350</v>
      </c>
      <c r="V262" s="105">
        <v>100</v>
      </c>
      <c r="W262" s="108" t="s">
        <v>427</v>
      </c>
      <c r="X262" s="106" t="s">
        <v>434</v>
      </c>
    </row>
    <row r="263" spans="1:24" x14ac:dyDescent="0.25">
      <c r="A263" s="99">
        <v>183900</v>
      </c>
      <c r="B263" s="201" t="s">
        <v>659</v>
      </c>
      <c r="C263" s="20"/>
      <c r="D263" s="21" t="str">
        <f t="shared" si="77"/>
        <v/>
      </c>
      <c r="E263" s="21" t="str">
        <f>IF(C263&gt;=1,(K263-C263)*(1+P263*$E$4/100)/$E$4+Q263+S263,"")</f>
        <v/>
      </c>
      <c r="F263" s="21" t="str">
        <f t="shared" si="73"/>
        <v/>
      </c>
      <c r="G263" s="21" t="str">
        <f t="shared" si="74"/>
        <v/>
      </c>
      <c r="H263" s="21" t="str">
        <f t="shared" si="75"/>
        <v/>
      </c>
      <c r="I263" s="21" t="str">
        <f t="shared" si="76"/>
        <v/>
      </c>
      <c r="J263" s="101"/>
      <c r="K263" s="102">
        <v>188463</v>
      </c>
      <c r="L263" s="102">
        <v>183900</v>
      </c>
      <c r="M263" s="102">
        <f>185421+1200</f>
        <v>186621</v>
      </c>
      <c r="N263" s="102">
        <f>186942+1200</f>
        <v>188142</v>
      </c>
      <c r="O263" s="102">
        <f>188463+1100</f>
        <v>189563</v>
      </c>
      <c r="P263" s="103">
        <v>2.17</v>
      </c>
      <c r="Q263" s="104">
        <v>200</v>
      </c>
      <c r="R263" s="240">
        <v>250</v>
      </c>
      <c r="S263" s="240">
        <v>125</v>
      </c>
      <c r="T263" s="101"/>
      <c r="U263" s="105">
        <v>350</v>
      </c>
      <c r="V263" s="105">
        <v>100</v>
      </c>
      <c r="W263" s="108" t="s">
        <v>661</v>
      </c>
      <c r="X263" s="106" t="s">
        <v>664</v>
      </c>
    </row>
    <row r="264" spans="1:24" x14ac:dyDescent="0.25">
      <c r="A264" s="99">
        <v>71800</v>
      </c>
      <c r="B264" s="100" t="s">
        <v>159</v>
      </c>
      <c r="C264" s="20"/>
      <c r="D264" s="21" t="str">
        <f t="shared" si="77"/>
        <v/>
      </c>
      <c r="E264" s="21" t="str">
        <f t="shared" ref="E264:E312" si="78">IF(C264&gt;=1,(K264-C264)*(1+P264*$E$4/100)/$E$4+Q264+S264,"")</f>
        <v/>
      </c>
      <c r="F264" s="21" t="str">
        <f t="shared" si="73"/>
        <v/>
      </c>
      <c r="G264" s="21" t="str">
        <f t="shared" si="74"/>
        <v/>
      </c>
      <c r="H264" s="21" t="str">
        <f t="shared" si="75"/>
        <v/>
      </c>
      <c r="I264" s="21" t="str">
        <f t="shared" si="76"/>
        <v/>
      </c>
      <c r="J264" s="101"/>
      <c r="K264" s="102">
        <v>76663</v>
      </c>
      <c r="L264" s="102">
        <v>73533</v>
      </c>
      <c r="M264" s="102">
        <f>74576+1200</f>
        <v>75776</v>
      </c>
      <c r="N264" s="102">
        <f>75619+1200</f>
        <v>76819</v>
      </c>
      <c r="O264" s="102">
        <f>76663+1100</f>
        <v>77763</v>
      </c>
      <c r="P264" s="103">
        <v>3</v>
      </c>
      <c r="Q264" s="104"/>
      <c r="R264" s="240">
        <v>250</v>
      </c>
      <c r="S264" s="240">
        <v>125</v>
      </c>
      <c r="T264" s="101"/>
      <c r="U264" s="105">
        <v>500</v>
      </c>
      <c r="V264" s="105">
        <v>100</v>
      </c>
      <c r="W264" s="106" t="s">
        <v>160</v>
      </c>
      <c r="X264" s="106"/>
    </row>
    <row r="265" spans="1:24" x14ac:dyDescent="0.25">
      <c r="A265" s="99">
        <v>76900</v>
      </c>
      <c r="B265" s="100" t="s">
        <v>605</v>
      </c>
      <c r="C265" s="20"/>
      <c r="D265" s="21" t="str">
        <f t="shared" si="77"/>
        <v/>
      </c>
      <c r="E265" s="21" t="str">
        <f t="shared" si="78"/>
        <v/>
      </c>
      <c r="F265" s="21" t="str">
        <f t="shared" si="73"/>
        <v/>
      </c>
      <c r="G265" s="21" t="str">
        <f t="shared" si="74"/>
        <v/>
      </c>
      <c r="H265" s="21" t="str">
        <f t="shared" si="75"/>
        <v/>
      </c>
      <c r="I265" s="21" t="str">
        <f t="shared" si="76"/>
        <v/>
      </c>
      <c r="J265" s="101"/>
      <c r="K265" s="102">
        <v>83963</v>
      </c>
      <c r="L265" s="102">
        <v>80833</v>
      </c>
      <c r="M265" s="102">
        <f>81876+1200</f>
        <v>83076</v>
      </c>
      <c r="N265" s="102">
        <f>82919+1200</f>
        <v>84119</v>
      </c>
      <c r="O265" s="102">
        <f>83963+1100</f>
        <v>85063</v>
      </c>
      <c r="P265" s="103">
        <v>3</v>
      </c>
      <c r="Q265" s="104"/>
      <c r="R265" s="240">
        <v>250</v>
      </c>
      <c r="S265" s="240">
        <v>125</v>
      </c>
      <c r="T265" s="101"/>
      <c r="U265" s="105">
        <v>500</v>
      </c>
      <c r="V265" s="105">
        <v>100</v>
      </c>
      <c r="W265" s="108" t="s">
        <v>474</v>
      </c>
      <c r="X265" s="108" t="s">
        <v>473</v>
      </c>
    </row>
    <row r="266" spans="1:24" x14ac:dyDescent="0.25">
      <c r="A266" s="99">
        <v>70400</v>
      </c>
      <c r="B266" s="112" t="s">
        <v>216</v>
      </c>
      <c r="C266" s="20"/>
      <c r="D266" s="21" t="str">
        <f t="shared" si="77"/>
        <v/>
      </c>
      <c r="E266" s="21" t="str">
        <f t="shared" si="78"/>
        <v/>
      </c>
      <c r="F266" s="21" t="str">
        <f t="shared" si="73"/>
        <v/>
      </c>
      <c r="G266" s="21" t="str">
        <f t="shared" si="74"/>
        <v/>
      </c>
      <c r="H266" s="21" t="str">
        <f t="shared" si="75"/>
        <v/>
      </c>
      <c r="I266" s="21" t="str">
        <f t="shared" si="76"/>
        <v/>
      </c>
      <c r="J266" s="101"/>
      <c r="K266" s="102">
        <f>72726+500</f>
        <v>73226</v>
      </c>
      <c r="L266" s="102">
        <f>71347+500</f>
        <v>71847</v>
      </c>
      <c r="M266" s="102">
        <f>71806+500+1200</f>
        <v>73506</v>
      </c>
      <c r="N266" s="102">
        <f>72766+1200</f>
        <v>73966</v>
      </c>
      <c r="O266" s="102">
        <f>73226+1100</f>
        <v>74326</v>
      </c>
      <c r="P266" s="103">
        <v>2.17</v>
      </c>
      <c r="Q266" s="104">
        <v>200</v>
      </c>
      <c r="R266" s="240">
        <v>250</v>
      </c>
      <c r="S266" s="240">
        <v>125</v>
      </c>
      <c r="T266" s="101"/>
      <c r="U266" s="105">
        <v>200</v>
      </c>
      <c r="V266" s="105">
        <v>100</v>
      </c>
      <c r="W266" s="108" t="s">
        <v>169</v>
      </c>
      <c r="X266" s="108"/>
    </row>
    <row r="267" spans="1:24" x14ac:dyDescent="0.25">
      <c r="A267" s="99">
        <v>75400</v>
      </c>
      <c r="B267" s="249" t="s">
        <v>596</v>
      </c>
      <c r="C267" s="20"/>
      <c r="D267" s="21" t="str">
        <f t="shared" si="77"/>
        <v/>
      </c>
      <c r="E267" s="21" t="str">
        <f t="shared" si="78"/>
        <v/>
      </c>
      <c r="F267" s="21" t="str">
        <f t="shared" si="73"/>
        <v/>
      </c>
      <c r="G267" s="21" t="str">
        <f t="shared" si="74"/>
        <v/>
      </c>
      <c r="H267" s="21" t="str">
        <f t="shared" si="75"/>
        <v/>
      </c>
      <c r="I267" s="21" t="str">
        <f t="shared" si="76"/>
        <v/>
      </c>
      <c r="J267" s="101"/>
      <c r="K267" s="102">
        <f>80226</f>
        <v>80226</v>
      </c>
      <c r="L267" s="102">
        <f>78847</f>
        <v>78847</v>
      </c>
      <c r="M267" s="102">
        <f>79306+1200</f>
        <v>80506</v>
      </c>
      <c r="N267" s="102">
        <f>79766+1200</f>
        <v>80966</v>
      </c>
      <c r="O267" s="102">
        <f>80226+1100</f>
        <v>81326</v>
      </c>
      <c r="P267" s="103">
        <v>2.17</v>
      </c>
      <c r="Q267" s="104">
        <v>200</v>
      </c>
      <c r="R267" s="240">
        <v>250</v>
      </c>
      <c r="S267" s="240">
        <v>125</v>
      </c>
      <c r="T267" s="101"/>
      <c r="U267" s="105">
        <v>200</v>
      </c>
      <c r="V267" s="105">
        <v>100</v>
      </c>
      <c r="W267" s="108" t="s">
        <v>597</v>
      </c>
      <c r="X267" s="108" t="s">
        <v>598</v>
      </c>
    </row>
    <row r="268" spans="1:24" x14ac:dyDescent="0.25">
      <c r="A268" s="99">
        <v>74400</v>
      </c>
      <c r="B268" s="200" t="s">
        <v>355</v>
      </c>
      <c r="C268" s="20"/>
      <c r="D268" s="21" t="str">
        <f t="shared" si="77"/>
        <v/>
      </c>
      <c r="E268" s="21" t="str">
        <f t="shared" si="78"/>
        <v/>
      </c>
      <c r="F268" s="21" t="str">
        <f t="shared" si="73"/>
        <v/>
      </c>
      <c r="G268" s="21" t="str">
        <f t="shared" si="74"/>
        <v/>
      </c>
      <c r="H268" s="21" t="str">
        <f t="shared" si="75"/>
        <v/>
      </c>
      <c r="I268" s="21" t="str">
        <f t="shared" si="76"/>
        <v/>
      </c>
      <c r="J268" s="101"/>
      <c r="K268" s="102">
        <v>79426</v>
      </c>
      <c r="L268" s="102">
        <v>78047</v>
      </c>
      <c r="M268" s="102">
        <f>78506+1200</f>
        <v>79706</v>
      </c>
      <c r="N268" s="102">
        <f>78966+1200</f>
        <v>80166</v>
      </c>
      <c r="O268" s="102">
        <f>79426+1100</f>
        <v>80526</v>
      </c>
      <c r="P268" s="103">
        <v>2.17</v>
      </c>
      <c r="Q268" s="104">
        <v>200</v>
      </c>
      <c r="R268" s="240">
        <v>250</v>
      </c>
      <c r="S268" s="240">
        <v>125</v>
      </c>
      <c r="T268" s="101"/>
      <c r="U268" s="105">
        <v>200</v>
      </c>
      <c r="V268" s="105">
        <v>100</v>
      </c>
      <c r="W268" s="108" t="s">
        <v>427</v>
      </c>
      <c r="X268" s="108" t="s">
        <v>429</v>
      </c>
    </row>
    <row r="269" spans="1:24" x14ac:dyDescent="0.25">
      <c r="A269" s="99">
        <v>73900</v>
      </c>
      <c r="B269" s="100" t="s">
        <v>144</v>
      </c>
      <c r="C269" s="20"/>
      <c r="D269" s="21" t="str">
        <f t="shared" si="77"/>
        <v/>
      </c>
      <c r="E269" s="21" t="str">
        <f t="shared" si="78"/>
        <v/>
      </c>
      <c r="F269" s="21" t="str">
        <f t="shared" si="73"/>
        <v/>
      </c>
      <c r="G269" s="21" t="str">
        <f t="shared" si="74"/>
        <v/>
      </c>
      <c r="H269" s="21" t="str">
        <f t="shared" si="75"/>
        <v/>
      </c>
      <c r="I269" s="21" t="str">
        <f t="shared" si="76"/>
        <v/>
      </c>
      <c r="J269" s="101"/>
      <c r="K269" s="102">
        <v>79201</v>
      </c>
      <c r="L269" s="102">
        <v>77010</v>
      </c>
      <c r="M269" s="102">
        <f>77740+1200</f>
        <v>78940</v>
      </c>
      <c r="N269" s="102">
        <f>78470+1200</f>
        <v>79670</v>
      </c>
      <c r="O269" s="102">
        <f>79201+1100</f>
        <v>80301</v>
      </c>
      <c r="P269" s="103">
        <v>2.17</v>
      </c>
      <c r="Q269" s="104">
        <v>200</v>
      </c>
      <c r="R269" s="240">
        <v>250</v>
      </c>
      <c r="S269" s="240">
        <v>125</v>
      </c>
      <c r="T269" s="101"/>
      <c r="U269" s="105">
        <v>200</v>
      </c>
      <c r="V269" s="105">
        <v>100</v>
      </c>
      <c r="W269" s="106" t="s">
        <v>156</v>
      </c>
      <c r="X269" s="106" t="s">
        <v>343</v>
      </c>
    </row>
    <row r="270" spans="1:24" x14ac:dyDescent="0.25">
      <c r="A270" s="99">
        <v>66500</v>
      </c>
      <c r="B270" s="111" t="s">
        <v>158</v>
      </c>
      <c r="C270" s="20"/>
      <c r="D270" s="21" t="str">
        <f t="shared" si="77"/>
        <v/>
      </c>
      <c r="E270" s="21" t="str">
        <f t="shared" si="78"/>
        <v/>
      </c>
      <c r="F270" s="21" t="str">
        <f t="shared" si="73"/>
        <v/>
      </c>
      <c r="G270" s="21" t="str">
        <f t="shared" si="74"/>
        <v/>
      </c>
      <c r="H270" s="21" t="str">
        <f t="shared" si="75"/>
        <v/>
      </c>
      <c r="I270" s="21" t="str">
        <f t="shared" si="76"/>
        <v/>
      </c>
      <c r="J270" s="101"/>
      <c r="K270" s="102">
        <v>71310</v>
      </c>
      <c r="L270" s="102">
        <v>68180</v>
      </c>
      <c r="M270" s="102">
        <f>69223+1200</f>
        <v>70423</v>
      </c>
      <c r="N270" s="102">
        <f>70266+1200</f>
        <v>71466</v>
      </c>
      <c r="O270" s="102">
        <f>71310+1100</f>
        <v>72410</v>
      </c>
      <c r="P270" s="103">
        <v>3</v>
      </c>
      <c r="Q270" s="104"/>
      <c r="R270" s="240">
        <v>250</v>
      </c>
      <c r="S270" s="240">
        <v>125</v>
      </c>
      <c r="T270" s="101"/>
      <c r="U270" s="105">
        <v>500</v>
      </c>
      <c r="V270" s="105">
        <v>100</v>
      </c>
      <c r="W270" s="106"/>
      <c r="X270" s="106"/>
    </row>
    <row r="271" spans="1:24" x14ac:dyDescent="0.25">
      <c r="A271" s="99">
        <v>71900</v>
      </c>
      <c r="B271" s="111" t="s">
        <v>604</v>
      </c>
      <c r="C271" s="20"/>
      <c r="D271" s="21" t="str">
        <f t="shared" si="77"/>
        <v/>
      </c>
      <c r="E271" s="21" t="str">
        <f t="shared" si="78"/>
        <v/>
      </c>
      <c r="F271" s="21" t="str">
        <f t="shared" si="73"/>
        <v/>
      </c>
      <c r="G271" s="21" t="str">
        <f t="shared" si="74"/>
        <v/>
      </c>
      <c r="H271" s="21" t="str">
        <f t="shared" si="75"/>
        <v/>
      </c>
      <c r="I271" s="21" t="str">
        <f t="shared" si="76"/>
        <v/>
      </c>
      <c r="J271" s="101"/>
      <c r="K271" s="102">
        <v>78410</v>
      </c>
      <c r="L271" s="102">
        <v>75280</v>
      </c>
      <c r="M271" s="102">
        <f>76323+1200</f>
        <v>77523</v>
      </c>
      <c r="N271" s="102">
        <f>77366+1200</f>
        <v>78566</v>
      </c>
      <c r="O271" s="102">
        <f>78410+1100</f>
        <v>79510</v>
      </c>
      <c r="P271" s="103">
        <v>3</v>
      </c>
      <c r="Q271" s="104"/>
      <c r="R271" s="240">
        <v>250</v>
      </c>
      <c r="S271" s="240">
        <v>125</v>
      </c>
      <c r="T271" s="101"/>
      <c r="U271" s="105">
        <v>500</v>
      </c>
      <c r="V271" s="105">
        <v>100</v>
      </c>
      <c r="W271" s="108" t="s">
        <v>472</v>
      </c>
      <c r="X271" s="108" t="s">
        <v>473</v>
      </c>
    </row>
    <row r="272" spans="1:24" x14ac:dyDescent="0.25">
      <c r="A272" s="99">
        <v>62400</v>
      </c>
      <c r="B272" s="111" t="s">
        <v>329</v>
      </c>
      <c r="C272" s="20"/>
      <c r="D272" s="21" t="str">
        <f t="shared" si="77"/>
        <v/>
      </c>
      <c r="E272" s="21" t="str">
        <f t="shared" si="78"/>
        <v/>
      </c>
      <c r="F272" s="21" t="str">
        <f t="shared" si="73"/>
        <v/>
      </c>
      <c r="G272" s="21" t="str">
        <f t="shared" si="74"/>
        <v/>
      </c>
      <c r="H272" s="21" t="str">
        <f t="shared" si="75"/>
        <v/>
      </c>
      <c r="I272" s="21" t="str">
        <f t="shared" si="76"/>
        <v/>
      </c>
      <c r="J272" s="101"/>
      <c r="K272" s="102">
        <f>68187</f>
        <v>68187</v>
      </c>
      <c r="L272" s="102">
        <f>66976</f>
        <v>66976</v>
      </c>
      <c r="M272" s="102">
        <f>67379+1200</f>
        <v>68579</v>
      </c>
      <c r="N272" s="102">
        <f>67783+1200</f>
        <v>68983</v>
      </c>
      <c r="O272" s="102">
        <f>68187+1100</f>
        <v>69287</v>
      </c>
      <c r="P272" s="103">
        <v>2.17</v>
      </c>
      <c r="Q272" s="104">
        <v>200</v>
      </c>
      <c r="R272" s="240">
        <v>250</v>
      </c>
      <c r="S272" s="240">
        <v>125</v>
      </c>
      <c r="T272" s="101"/>
      <c r="U272" s="105">
        <v>250</v>
      </c>
      <c r="V272" s="105">
        <v>50</v>
      </c>
      <c r="W272" s="108" t="s">
        <v>489</v>
      </c>
      <c r="X272" s="108" t="s">
        <v>490</v>
      </c>
    </row>
    <row r="273" spans="1:24" x14ac:dyDescent="0.25">
      <c r="A273" s="99">
        <v>74900</v>
      </c>
      <c r="B273" s="100" t="s">
        <v>325</v>
      </c>
      <c r="C273" s="20"/>
      <c r="D273" s="21" t="str">
        <f t="shared" si="77"/>
        <v/>
      </c>
      <c r="E273" s="21" t="str">
        <f t="shared" si="78"/>
        <v/>
      </c>
      <c r="F273" s="21" t="str">
        <f t="shared" si="73"/>
        <v/>
      </c>
      <c r="G273" s="21" t="str">
        <f t="shared" si="74"/>
        <v/>
      </c>
      <c r="H273" s="21" t="str">
        <f t="shared" si="75"/>
        <v/>
      </c>
      <c r="I273" s="21" t="str">
        <f t="shared" si="76"/>
        <v/>
      </c>
      <c r="J273" s="101"/>
      <c r="K273" s="102">
        <v>81789</v>
      </c>
      <c r="L273" s="102">
        <v>79692</v>
      </c>
      <c r="M273" s="102">
        <f>80391+1200</f>
        <v>81591</v>
      </c>
      <c r="N273" s="102">
        <f>81090+1200</f>
        <v>82290</v>
      </c>
      <c r="O273" s="102">
        <f>81789+1100</f>
        <v>82889</v>
      </c>
      <c r="P273" s="103">
        <v>2.17</v>
      </c>
      <c r="Q273" s="104"/>
      <c r="R273" s="240">
        <v>250</v>
      </c>
      <c r="S273" s="240">
        <v>125</v>
      </c>
      <c r="T273" s="101"/>
      <c r="U273" s="105">
        <v>600</v>
      </c>
      <c r="V273" s="105">
        <v>100</v>
      </c>
      <c r="W273" s="108" t="s">
        <v>427</v>
      </c>
      <c r="X273" s="108" t="s">
        <v>440</v>
      </c>
    </row>
    <row r="274" spans="1:24" x14ac:dyDescent="0.25">
      <c r="A274" s="99">
        <v>75900</v>
      </c>
      <c r="B274" s="111" t="s">
        <v>606</v>
      </c>
      <c r="C274" s="20"/>
      <c r="D274" s="21" t="str">
        <f t="shared" si="77"/>
        <v/>
      </c>
      <c r="E274" s="21" t="str">
        <f t="shared" si="78"/>
        <v/>
      </c>
      <c r="F274" s="21" t="str">
        <f t="shared" si="73"/>
        <v/>
      </c>
      <c r="G274" s="21" t="str">
        <f t="shared" si="74"/>
        <v/>
      </c>
      <c r="H274" s="21" t="str">
        <f t="shared" si="75"/>
        <v/>
      </c>
      <c r="I274" s="21" t="str">
        <f t="shared" si="76"/>
        <v/>
      </c>
      <c r="J274" s="101"/>
      <c r="K274" s="102">
        <v>82789</v>
      </c>
      <c r="L274" s="102">
        <v>80692</v>
      </c>
      <c r="M274" s="102">
        <f>81391+1200</f>
        <v>82591</v>
      </c>
      <c r="N274" s="102">
        <f>82090+1200</f>
        <v>83290</v>
      </c>
      <c r="O274" s="102">
        <f>82789+1100</f>
        <v>83889</v>
      </c>
      <c r="P274" s="103">
        <v>3</v>
      </c>
      <c r="Q274" s="104"/>
      <c r="R274" s="240">
        <v>250</v>
      </c>
      <c r="S274" s="240">
        <v>125</v>
      </c>
      <c r="T274" s="101"/>
      <c r="U274" s="105">
        <v>600</v>
      </c>
      <c r="V274" s="105">
        <v>100</v>
      </c>
      <c r="W274" s="108" t="s">
        <v>607</v>
      </c>
      <c r="X274" s="108" t="s">
        <v>608</v>
      </c>
    </row>
    <row r="275" spans="1:24" x14ac:dyDescent="0.25">
      <c r="A275" s="99">
        <v>500000</v>
      </c>
      <c r="B275" s="111" t="s">
        <v>553</v>
      </c>
      <c r="C275" s="20"/>
      <c r="D275" s="231"/>
      <c r="E275" s="231"/>
      <c r="F275" s="231"/>
      <c r="G275" s="231"/>
      <c r="H275" s="231"/>
      <c r="I275" s="231"/>
      <c r="J275" s="109"/>
      <c r="K275" s="102"/>
      <c r="L275" s="102">
        <v>500000</v>
      </c>
      <c r="M275" s="102"/>
      <c r="N275" s="102"/>
      <c r="O275" s="102"/>
      <c r="P275" s="103"/>
      <c r="Q275" s="104"/>
      <c r="R275" s="240"/>
      <c r="S275" s="240"/>
      <c r="T275" s="101"/>
      <c r="U275" s="105"/>
      <c r="V275" s="105"/>
      <c r="W275" s="106">
        <v>45349</v>
      </c>
      <c r="X275" s="106" t="s">
        <v>554</v>
      </c>
    </row>
    <row r="276" spans="1:24" x14ac:dyDescent="0.25">
      <c r="A276" s="99">
        <v>269900</v>
      </c>
      <c r="B276" s="100" t="s">
        <v>660</v>
      </c>
      <c r="C276" s="20">
        <v>150000</v>
      </c>
      <c r="D276" s="21">
        <f t="shared" si="77"/>
        <v>25029.401233333334</v>
      </c>
      <c r="E276" s="21">
        <f t="shared" si="78"/>
        <v>14030.484566666666</v>
      </c>
      <c r="F276" s="21">
        <f t="shared" si="73"/>
        <v>10405.845677777779</v>
      </c>
      <c r="G276" s="21">
        <f t="shared" si="74"/>
        <v>8593.5262333333321</v>
      </c>
      <c r="H276" s="231"/>
      <c r="I276" s="231"/>
      <c r="J276" s="109"/>
      <c r="K276" s="102">
        <v>280487</v>
      </c>
      <c r="L276" s="102">
        <v>271180</v>
      </c>
      <c r="M276" s="102">
        <f>274282+1200</f>
        <v>275482</v>
      </c>
      <c r="N276" s="102">
        <f>277384+1200</f>
        <v>278584</v>
      </c>
      <c r="O276" s="102">
        <f>280487+1100</f>
        <v>281587</v>
      </c>
      <c r="P276" s="103">
        <v>2.17</v>
      </c>
      <c r="Q276" s="104">
        <v>200</v>
      </c>
      <c r="R276" s="240">
        <v>250</v>
      </c>
      <c r="S276" s="240">
        <v>125</v>
      </c>
      <c r="T276" s="101"/>
      <c r="U276" s="105">
        <v>350</v>
      </c>
      <c r="V276" s="105">
        <v>100</v>
      </c>
      <c r="W276" s="108" t="s">
        <v>661</v>
      </c>
      <c r="X276" s="106" t="s">
        <v>662</v>
      </c>
    </row>
    <row r="277" spans="1:24" x14ac:dyDescent="0.25">
      <c r="A277" s="99">
        <v>309900</v>
      </c>
      <c r="B277" s="100" t="s">
        <v>663</v>
      </c>
      <c r="C277" s="20">
        <v>150000</v>
      </c>
      <c r="D277" s="21">
        <f t="shared" si="77"/>
        <v>32969.809699999998</v>
      </c>
      <c r="E277" s="21">
        <f t="shared" si="78"/>
        <v>18458.059700000002</v>
      </c>
      <c r="F277" s="21">
        <f t="shared" si="73"/>
        <v>13662.476366666668</v>
      </c>
      <c r="G277" s="21">
        <f t="shared" si="74"/>
        <v>11264.6847</v>
      </c>
      <c r="H277" s="231"/>
      <c r="I277" s="231"/>
      <c r="J277" s="109"/>
      <c r="K277" s="102">
        <v>322641</v>
      </c>
      <c r="L277" s="102">
        <v>311180</v>
      </c>
      <c r="M277" s="102">
        <f>315000+1200</f>
        <v>316200</v>
      </c>
      <c r="N277" s="102">
        <f>318820+1200</f>
        <v>320020</v>
      </c>
      <c r="O277" s="102">
        <f>322641+1100</f>
        <v>323741</v>
      </c>
      <c r="P277" s="103">
        <v>2.17</v>
      </c>
      <c r="Q277" s="104">
        <v>200</v>
      </c>
      <c r="R277" s="240">
        <v>250</v>
      </c>
      <c r="S277" s="240">
        <v>125</v>
      </c>
      <c r="T277" s="101"/>
      <c r="U277" s="105">
        <v>350</v>
      </c>
      <c r="V277" s="105">
        <v>100</v>
      </c>
      <c r="W277" s="108" t="s">
        <v>661</v>
      </c>
      <c r="X277" s="106" t="s">
        <v>662</v>
      </c>
    </row>
    <row r="278" spans="1:24" x14ac:dyDescent="0.25">
      <c r="A278" s="99">
        <v>232900</v>
      </c>
      <c r="B278" s="100" t="s">
        <v>191</v>
      </c>
      <c r="C278" s="20"/>
      <c r="D278" s="21" t="str">
        <f t="shared" si="77"/>
        <v/>
      </c>
      <c r="E278" s="21" t="str">
        <f t="shared" si="78"/>
        <v/>
      </c>
      <c r="F278" s="21" t="str">
        <f t="shared" si="73"/>
        <v/>
      </c>
      <c r="G278" s="21" t="str">
        <f t="shared" si="74"/>
        <v/>
      </c>
      <c r="H278" s="231"/>
      <c r="I278" s="231"/>
      <c r="J278" s="109"/>
      <c r="K278" s="102">
        <f>241336</f>
        <v>241336</v>
      </c>
      <c r="L278" s="102">
        <f>236953</f>
        <v>236953</v>
      </c>
      <c r="M278" s="102">
        <f>238414+1200</f>
        <v>239614</v>
      </c>
      <c r="N278" s="102">
        <f>239875+1200</f>
        <v>241075</v>
      </c>
      <c r="O278" s="102">
        <f>241336+1100</f>
        <v>242436</v>
      </c>
      <c r="P278" s="103">
        <v>3.25</v>
      </c>
      <c r="Q278" s="104"/>
      <c r="R278" s="240">
        <v>250</v>
      </c>
      <c r="S278" s="240">
        <v>125</v>
      </c>
      <c r="T278" s="101"/>
      <c r="U278" s="105">
        <v>350</v>
      </c>
      <c r="V278" s="105">
        <v>100</v>
      </c>
      <c r="W278" s="106" t="s">
        <v>190</v>
      </c>
      <c r="X278" s="106"/>
    </row>
    <row r="279" spans="1:24" x14ac:dyDescent="0.25">
      <c r="A279" s="99">
        <v>284900</v>
      </c>
      <c r="B279" s="100" t="s">
        <v>136</v>
      </c>
      <c r="C279" s="20"/>
      <c r="D279" s="21" t="str">
        <f t="shared" si="77"/>
        <v/>
      </c>
      <c r="E279" s="21" t="str">
        <f t="shared" si="78"/>
        <v/>
      </c>
      <c r="F279" s="21" t="str">
        <f t="shared" si="73"/>
        <v/>
      </c>
      <c r="G279" s="21" t="str">
        <f t="shared" si="74"/>
        <v/>
      </c>
      <c r="H279" s="231"/>
      <c r="I279" s="231"/>
      <c r="J279" s="109"/>
      <c r="K279" s="102">
        <v>294589</v>
      </c>
      <c r="L279" s="102">
        <v>284900</v>
      </c>
      <c r="M279" s="102">
        <f>288129+1200</f>
        <v>289329</v>
      </c>
      <c r="N279" s="102">
        <f>291359+1200</f>
        <v>292559</v>
      </c>
      <c r="O279" s="102">
        <f>294589+1100</f>
        <v>295689</v>
      </c>
      <c r="P279" s="103">
        <v>3.25</v>
      </c>
      <c r="Q279" s="104"/>
      <c r="R279" s="240">
        <v>250</v>
      </c>
      <c r="S279" s="240">
        <v>125</v>
      </c>
      <c r="T279" s="101"/>
      <c r="U279" s="105">
        <v>350</v>
      </c>
      <c r="V279" s="105">
        <v>100</v>
      </c>
      <c r="W279" s="106"/>
      <c r="X279" s="106"/>
    </row>
    <row r="280" spans="1:24" x14ac:dyDescent="0.25">
      <c r="A280" s="99">
        <v>284900</v>
      </c>
      <c r="B280" s="100" t="s">
        <v>195</v>
      </c>
      <c r="C280" s="20"/>
      <c r="D280" s="21" t="str">
        <f t="shared" si="77"/>
        <v/>
      </c>
      <c r="E280" s="21" t="str">
        <f t="shared" si="78"/>
        <v/>
      </c>
      <c r="F280" s="21" t="str">
        <f t="shared" si="73"/>
        <v/>
      </c>
      <c r="G280" s="21" t="str">
        <f t="shared" si="74"/>
        <v/>
      </c>
      <c r="H280" s="231"/>
      <c r="I280" s="231"/>
      <c r="J280" s="109"/>
      <c r="K280" s="102">
        <f>295941</f>
        <v>295941</v>
      </c>
      <c r="L280" s="102">
        <f>284900</f>
        <v>284900</v>
      </c>
      <c r="M280" s="102">
        <f>288580+1200</f>
        <v>289780</v>
      </c>
      <c r="N280" s="102">
        <f>292260+1200</f>
        <v>293460</v>
      </c>
      <c r="O280" s="102">
        <f>295941+1100</f>
        <v>297041</v>
      </c>
      <c r="P280" s="103">
        <v>3.25</v>
      </c>
      <c r="Q280" s="104"/>
      <c r="R280" s="240">
        <v>250</v>
      </c>
      <c r="S280" s="240">
        <v>125</v>
      </c>
      <c r="T280" s="101"/>
      <c r="U280" s="105">
        <v>350</v>
      </c>
      <c r="V280" s="105">
        <v>100</v>
      </c>
      <c r="W280" s="106">
        <v>43556</v>
      </c>
      <c r="X280" s="106"/>
    </row>
    <row r="281" spans="1:24" x14ac:dyDescent="0.25">
      <c r="A281" s="99">
        <v>469000</v>
      </c>
      <c r="B281" s="110" t="s">
        <v>475</v>
      </c>
      <c r="C281" s="20"/>
      <c r="D281" s="231"/>
      <c r="E281" s="231"/>
      <c r="F281" s="231"/>
      <c r="G281" s="231"/>
      <c r="H281" s="231"/>
      <c r="I281" s="231"/>
      <c r="J281" s="109"/>
      <c r="K281" s="102"/>
      <c r="L281" s="102">
        <v>470500</v>
      </c>
      <c r="M281" s="102"/>
      <c r="N281" s="102"/>
      <c r="O281" s="102"/>
      <c r="P281" s="103"/>
      <c r="Q281" s="104"/>
      <c r="R281" s="240"/>
      <c r="S281" s="240"/>
      <c r="T281" s="101"/>
      <c r="U281" s="105"/>
      <c r="V281" s="105"/>
      <c r="W281" s="106">
        <v>45029</v>
      </c>
      <c r="X281" s="106" t="s">
        <v>476</v>
      </c>
    </row>
    <row r="282" spans="1:24" x14ac:dyDescent="0.25">
      <c r="A282" s="99">
        <v>467000</v>
      </c>
      <c r="B282" s="110" t="s">
        <v>719</v>
      </c>
      <c r="C282" s="20"/>
      <c r="D282" s="231"/>
      <c r="E282" s="231"/>
      <c r="F282" s="231"/>
      <c r="G282" s="231"/>
      <c r="H282" s="231"/>
      <c r="I282" s="231"/>
      <c r="J282" s="109"/>
      <c r="K282" s="102"/>
      <c r="L282" s="102">
        <f>467000</f>
        <v>467000</v>
      </c>
      <c r="M282" s="102"/>
      <c r="N282" s="102"/>
      <c r="O282" s="102"/>
      <c r="P282" s="103"/>
      <c r="Q282" s="104"/>
      <c r="R282" s="240"/>
      <c r="S282" s="240"/>
      <c r="T282" s="101"/>
      <c r="U282" s="105"/>
      <c r="V282" s="105"/>
      <c r="W282" s="108" t="s">
        <v>720</v>
      </c>
      <c r="X282" s="106" t="s">
        <v>721</v>
      </c>
    </row>
    <row r="283" spans="1:24" x14ac:dyDescent="0.25">
      <c r="A283" s="99">
        <v>477000</v>
      </c>
      <c r="B283" s="110" t="s">
        <v>722</v>
      </c>
      <c r="C283" s="20"/>
      <c r="D283" s="231"/>
      <c r="E283" s="231"/>
      <c r="F283" s="231"/>
      <c r="G283" s="231"/>
      <c r="H283" s="231"/>
      <c r="I283" s="231"/>
      <c r="J283" s="109"/>
      <c r="K283" s="102"/>
      <c r="L283" s="102">
        <f>477000</f>
        <v>477000</v>
      </c>
      <c r="M283" s="102"/>
      <c r="N283" s="102"/>
      <c r="O283" s="102"/>
      <c r="P283" s="103"/>
      <c r="Q283" s="104"/>
      <c r="R283" s="240"/>
      <c r="S283" s="240"/>
      <c r="T283" s="101"/>
      <c r="U283" s="105"/>
      <c r="V283" s="105"/>
      <c r="W283" s="108" t="s">
        <v>720</v>
      </c>
      <c r="X283" s="106" t="s">
        <v>723</v>
      </c>
    </row>
    <row r="284" spans="1:24" x14ac:dyDescent="0.25">
      <c r="A284" s="99">
        <v>133400</v>
      </c>
      <c r="B284" s="100" t="s">
        <v>153</v>
      </c>
      <c r="C284" s="20"/>
      <c r="D284" s="21" t="str">
        <f t="shared" si="77"/>
        <v/>
      </c>
      <c r="E284" s="21" t="str">
        <f t="shared" si="78"/>
        <v/>
      </c>
      <c r="F284" s="21" t="str">
        <f t="shared" si="73"/>
        <v/>
      </c>
      <c r="G284" s="21" t="str">
        <f t="shared" si="74"/>
        <v/>
      </c>
      <c r="H284" s="21" t="str">
        <f t="shared" si="75"/>
        <v/>
      </c>
      <c r="I284" s="21" t="str">
        <f>IF(C284&gt;=1, (K284-C284)*(1+$P284*$I$4/100)/$I$4+Q284+S284, "")</f>
        <v/>
      </c>
      <c r="J284" s="109"/>
      <c r="K284" s="102">
        <v>137043</v>
      </c>
      <c r="L284" s="102">
        <v>133400</v>
      </c>
      <c r="M284" s="102">
        <f>134614+1200</f>
        <v>135814</v>
      </c>
      <c r="N284" s="102">
        <f>135828+1200</f>
        <v>137028</v>
      </c>
      <c r="O284" s="102">
        <f>137043+1100</f>
        <v>138143</v>
      </c>
      <c r="P284" s="103">
        <v>2.17</v>
      </c>
      <c r="Q284" s="104">
        <v>200</v>
      </c>
      <c r="R284" s="240">
        <v>250</v>
      </c>
      <c r="S284" s="240">
        <v>125</v>
      </c>
      <c r="T284" s="101"/>
      <c r="U284" s="105">
        <v>200</v>
      </c>
      <c r="V284" s="105">
        <v>100</v>
      </c>
      <c r="W284" s="106" t="s">
        <v>155</v>
      </c>
      <c r="X284" s="106"/>
    </row>
    <row r="285" spans="1:24" x14ac:dyDescent="0.25">
      <c r="A285" s="99">
        <v>134900</v>
      </c>
      <c r="B285" s="100" t="s">
        <v>186</v>
      </c>
      <c r="C285" s="20"/>
      <c r="D285" s="21" t="str">
        <f t="shared" si="77"/>
        <v/>
      </c>
      <c r="E285" s="21" t="str">
        <f t="shared" si="78"/>
        <v/>
      </c>
      <c r="F285" s="21" t="str">
        <f t="shared" si="73"/>
        <v/>
      </c>
      <c r="G285" s="21" t="str">
        <f t="shared" si="74"/>
        <v/>
      </c>
      <c r="H285" s="21" t="str">
        <f t="shared" si="75"/>
        <v/>
      </c>
      <c r="I285" s="21" t="str">
        <f t="shared" ref="I285:I312" si="79">IF(C285&gt;=1, (K285-C285)*(1+$P285*$I$4/100)/$I$4+Q285+S285, "")</f>
        <v/>
      </c>
      <c r="J285" s="109"/>
      <c r="K285" s="102">
        <v>138543</v>
      </c>
      <c r="L285" s="102">
        <v>134900</v>
      </c>
      <c r="M285" s="102">
        <f>136114+1200</f>
        <v>137314</v>
      </c>
      <c r="N285" s="102">
        <f>137328+1200</f>
        <v>138528</v>
      </c>
      <c r="O285" s="102">
        <f>138543+1100</f>
        <v>139643</v>
      </c>
      <c r="P285" s="103">
        <v>2.17</v>
      </c>
      <c r="Q285" s="104">
        <v>200</v>
      </c>
      <c r="R285" s="240">
        <v>250</v>
      </c>
      <c r="S285" s="240">
        <v>125</v>
      </c>
      <c r="T285" s="101"/>
      <c r="U285" s="105">
        <v>200</v>
      </c>
      <c r="V285" s="105">
        <v>100</v>
      </c>
      <c r="W285" s="108" t="s">
        <v>182</v>
      </c>
      <c r="X285" s="108"/>
    </row>
    <row r="286" spans="1:24" x14ac:dyDescent="0.25">
      <c r="A286" s="99">
        <v>135900</v>
      </c>
      <c r="B286" s="100" t="s">
        <v>244</v>
      </c>
      <c r="C286" s="20"/>
      <c r="D286" s="21" t="str">
        <f t="shared" si="77"/>
        <v/>
      </c>
      <c r="E286" s="21" t="str">
        <f t="shared" si="78"/>
        <v/>
      </c>
      <c r="F286" s="21" t="str">
        <f t="shared" si="73"/>
        <v/>
      </c>
      <c r="G286" s="21" t="str">
        <f t="shared" si="74"/>
        <v/>
      </c>
      <c r="H286" s="21" t="str">
        <f t="shared" si="75"/>
        <v/>
      </c>
      <c r="I286" s="21" t="str">
        <f t="shared" si="79"/>
        <v/>
      </c>
      <c r="J286" s="109"/>
      <c r="K286" s="102">
        <v>139743</v>
      </c>
      <c r="L286" s="102">
        <v>136100</v>
      </c>
      <c r="M286" s="102">
        <f>137314+1200</f>
        <v>138514</v>
      </c>
      <c r="N286" s="102">
        <f>138528+1200</f>
        <v>139728</v>
      </c>
      <c r="O286" s="102">
        <f>139743+1100</f>
        <v>140843</v>
      </c>
      <c r="P286" s="103">
        <v>2.17</v>
      </c>
      <c r="Q286" s="104">
        <v>200</v>
      </c>
      <c r="R286" s="240">
        <v>250</v>
      </c>
      <c r="S286" s="240">
        <v>125</v>
      </c>
      <c r="T286" s="101"/>
      <c r="U286" s="105">
        <v>200</v>
      </c>
      <c r="V286" s="105">
        <v>100</v>
      </c>
      <c r="W286" s="108" t="s">
        <v>243</v>
      </c>
      <c r="X286" s="106" t="s">
        <v>245</v>
      </c>
    </row>
    <row r="287" spans="1:24" x14ac:dyDescent="0.25">
      <c r="A287" s="99">
        <v>147900</v>
      </c>
      <c r="B287" s="100" t="s">
        <v>358</v>
      </c>
      <c r="C287" s="20"/>
      <c r="D287" s="21" t="str">
        <f t="shared" si="77"/>
        <v/>
      </c>
      <c r="E287" s="21" t="str">
        <f t="shared" si="78"/>
        <v/>
      </c>
      <c r="F287" s="21" t="str">
        <f t="shared" si="73"/>
        <v/>
      </c>
      <c r="G287" s="21" t="str">
        <f t="shared" si="74"/>
        <v/>
      </c>
      <c r="H287" s="21" t="str">
        <f t="shared" si="75"/>
        <v/>
      </c>
      <c r="I287" s="21" t="str">
        <f t="shared" si="79"/>
        <v/>
      </c>
      <c r="J287" s="109"/>
      <c r="K287" s="102">
        <v>153243</v>
      </c>
      <c r="L287" s="102">
        <v>149600</v>
      </c>
      <c r="M287" s="102">
        <f>150814+1200</f>
        <v>152014</v>
      </c>
      <c r="N287" s="102">
        <f>152028+1200</f>
        <v>153228</v>
      </c>
      <c r="O287" s="102">
        <f>153243+1100</f>
        <v>154343</v>
      </c>
      <c r="P287" s="103">
        <v>2.17</v>
      </c>
      <c r="Q287" s="104">
        <v>200</v>
      </c>
      <c r="R287" s="240">
        <v>250</v>
      </c>
      <c r="S287" s="240">
        <v>125</v>
      </c>
      <c r="T287" s="101"/>
      <c r="U287" s="105">
        <v>200</v>
      </c>
      <c r="V287" s="105">
        <v>100</v>
      </c>
      <c r="W287" s="108" t="s">
        <v>427</v>
      </c>
      <c r="X287" s="106" t="s">
        <v>432</v>
      </c>
    </row>
    <row r="288" spans="1:24" x14ac:dyDescent="0.25">
      <c r="A288" s="99">
        <v>306000</v>
      </c>
      <c r="B288" s="100" t="s">
        <v>727</v>
      </c>
      <c r="C288" s="20"/>
      <c r="D288" s="231"/>
      <c r="E288" s="231"/>
      <c r="F288" s="231"/>
      <c r="G288" s="231"/>
      <c r="H288" s="231"/>
      <c r="I288" s="231"/>
      <c r="J288" s="109"/>
      <c r="K288" s="102"/>
      <c r="L288" s="102">
        <v>306000</v>
      </c>
      <c r="M288" s="102"/>
      <c r="N288" s="102"/>
      <c r="O288" s="102"/>
      <c r="P288" s="103"/>
      <c r="Q288" s="104"/>
      <c r="R288" s="240"/>
      <c r="S288" s="240"/>
      <c r="T288" s="101"/>
      <c r="U288" s="105"/>
      <c r="V288" s="105"/>
      <c r="W288" s="108" t="s">
        <v>728</v>
      </c>
      <c r="X288" s="106" t="s">
        <v>729</v>
      </c>
    </row>
    <row r="289" spans="1:25" x14ac:dyDescent="0.25">
      <c r="A289" s="99">
        <v>189000</v>
      </c>
      <c r="B289" s="111" t="s">
        <v>449</v>
      </c>
      <c r="C289" s="20"/>
      <c r="D289" s="231"/>
      <c r="E289" s="231"/>
      <c r="F289" s="231"/>
      <c r="G289" s="231"/>
      <c r="H289" s="231"/>
      <c r="I289" s="231"/>
      <c r="J289" s="109"/>
      <c r="K289" s="102"/>
      <c r="L289" s="102">
        <v>189000</v>
      </c>
      <c r="M289" s="102"/>
      <c r="N289" s="102"/>
      <c r="O289" s="102"/>
      <c r="P289" s="103"/>
      <c r="Q289" s="104"/>
      <c r="R289" s="240"/>
      <c r="S289" s="240"/>
      <c r="T289" s="101"/>
      <c r="U289" s="105"/>
      <c r="V289" s="105"/>
      <c r="W289" s="108" t="s">
        <v>443</v>
      </c>
      <c r="X289" s="106" t="s">
        <v>476</v>
      </c>
    </row>
    <row r="290" spans="1:25" x14ac:dyDescent="0.25">
      <c r="A290" s="99">
        <v>106900</v>
      </c>
      <c r="B290" s="111" t="s">
        <v>223</v>
      </c>
      <c r="C290" s="20"/>
      <c r="D290" s="21" t="str">
        <f t="shared" si="77"/>
        <v/>
      </c>
      <c r="E290" s="21" t="str">
        <f t="shared" si="78"/>
        <v/>
      </c>
      <c r="F290" s="21" t="str">
        <f t="shared" si="73"/>
        <v/>
      </c>
      <c r="G290" s="21" t="str">
        <f t="shared" si="74"/>
        <v/>
      </c>
      <c r="H290" s="21" t="str">
        <f t="shared" si="75"/>
        <v/>
      </c>
      <c r="I290" s="21" t="str">
        <f t="shared" si="79"/>
        <v/>
      </c>
      <c r="J290" s="109"/>
      <c r="K290" s="102">
        <v>110370</v>
      </c>
      <c r="L290" s="102">
        <v>108600</v>
      </c>
      <c r="M290" s="102">
        <f>109190+1200</f>
        <v>110390</v>
      </c>
      <c r="N290" s="102">
        <f>109780+1200</f>
        <v>110980</v>
      </c>
      <c r="O290" s="102">
        <f>110370+1100</f>
        <v>111470</v>
      </c>
      <c r="P290" s="103">
        <v>2.17</v>
      </c>
      <c r="Q290" s="104">
        <v>200</v>
      </c>
      <c r="R290" s="240">
        <v>250</v>
      </c>
      <c r="S290" s="240">
        <v>125</v>
      </c>
      <c r="T290" s="101"/>
      <c r="U290" s="105">
        <v>350</v>
      </c>
      <c r="V290" s="105">
        <v>100</v>
      </c>
      <c r="W290" s="108" t="s">
        <v>427</v>
      </c>
      <c r="X290" s="108" t="s">
        <v>430</v>
      </c>
    </row>
    <row r="291" spans="1:25" ht="12.75" customHeight="1" x14ac:dyDescent="0.25">
      <c r="A291" s="99">
        <v>56900</v>
      </c>
      <c r="B291" s="111" t="s">
        <v>707</v>
      </c>
      <c r="C291" s="20">
        <v>20000</v>
      </c>
      <c r="D291" s="21">
        <f t="shared" si="77"/>
        <v>8782.3994999999995</v>
      </c>
      <c r="E291" s="21">
        <f t="shared" si="78"/>
        <v>4971.1495000000004</v>
      </c>
      <c r="F291" s="21">
        <f t="shared" si="73"/>
        <v>3742.3995000000004</v>
      </c>
      <c r="G291" s="21">
        <f t="shared" si="74"/>
        <v>3128.0245</v>
      </c>
      <c r="H291" s="21">
        <f t="shared" si="75"/>
        <v>2759.3994999999995</v>
      </c>
      <c r="I291" s="21">
        <f t="shared" si="79"/>
        <v>2513.6495000000004</v>
      </c>
      <c r="J291" s="101"/>
      <c r="K291" s="102">
        <f>64235</f>
        <v>64235</v>
      </c>
      <c r="L291" s="102">
        <f>62428</f>
        <v>62428</v>
      </c>
      <c r="M291" s="102">
        <f>63030+1200</f>
        <v>64230</v>
      </c>
      <c r="N291" s="102">
        <f>63632+1200</f>
        <v>64832</v>
      </c>
      <c r="O291" s="102">
        <f>64235+1100</f>
        <v>65335</v>
      </c>
      <c r="P291" s="103">
        <v>2.17</v>
      </c>
      <c r="Q291" s="104">
        <v>200</v>
      </c>
      <c r="R291" s="240">
        <v>250</v>
      </c>
      <c r="S291" s="240">
        <v>125</v>
      </c>
      <c r="T291" s="101"/>
      <c r="U291" s="105">
        <v>200</v>
      </c>
      <c r="V291" s="105">
        <v>100</v>
      </c>
      <c r="W291" s="108" t="s">
        <v>714</v>
      </c>
      <c r="X291" s="106" t="s">
        <v>713</v>
      </c>
      <c r="Y291" s="221"/>
    </row>
    <row r="292" spans="1:25" x14ac:dyDescent="0.25">
      <c r="A292" s="99">
        <v>145900</v>
      </c>
      <c r="B292" s="111" t="s">
        <v>455</v>
      </c>
      <c r="C292" s="20"/>
      <c r="D292" s="21" t="str">
        <f t="shared" si="77"/>
        <v/>
      </c>
      <c r="E292" s="21" t="str">
        <f t="shared" si="78"/>
        <v/>
      </c>
      <c r="F292" s="21" t="str">
        <f t="shared" si="73"/>
        <v/>
      </c>
      <c r="G292" s="21" t="str">
        <f t="shared" si="74"/>
        <v/>
      </c>
      <c r="H292" s="21" t="str">
        <f t="shared" si="75"/>
        <v/>
      </c>
      <c r="I292" s="21" t="str">
        <f t="shared" si="79"/>
        <v/>
      </c>
      <c r="J292" s="109"/>
      <c r="K292" s="102">
        <f>148031</f>
        <v>148031</v>
      </c>
      <c r="L292" s="102">
        <f>145900</f>
        <v>145900</v>
      </c>
      <c r="M292" s="102">
        <f>146610+1200</f>
        <v>147810</v>
      </c>
      <c r="N292" s="102">
        <f>147320+1200</f>
        <v>148520</v>
      </c>
      <c r="O292" s="102">
        <f>148031+1100</f>
        <v>149131</v>
      </c>
      <c r="P292" s="103">
        <v>2.17</v>
      </c>
      <c r="Q292" s="104">
        <v>200</v>
      </c>
      <c r="R292" s="240">
        <v>250</v>
      </c>
      <c r="S292" s="240">
        <v>125</v>
      </c>
      <c r="T292" s="101"/>
      <c r="U292" s="105">
        <v>200</v>
      </c>
      <c r="V292" s="105">
        <v>100</v>
      </c>
      <c r="W292" s="108" t="s">
        <v>397</v>
      </c>
      <c r="X292" s="106" t="s">
        <v>399</v>
      </c>
    </row>
    <row r="293" spans="1:25" x14ac:dyDescent="0.25">
      <c r="A293" s="99">
        <v>151900</v>
      </c>
      <c r="B293" s="111" t="s">
        <v>454</v>
      </c>
      <c r="C293" s="20"/>
      <c r="D293" s="21" t="str">
        <f t="shared" si="77"/>
        <v/>
      </c>
      <c r="E293" s="21" t="str">
        <f t="shared" si="78"/>
        <v/>
      </c>
      <c r="F293" s="21" t="str">
        <f t="shared" si="73"/>
        <v/>
      </c>
      <c r="G293" s="21" t="str">
        <f t="shared" si="74"/>
        <v/>
      </c>
      <c r="H293" s="21" t="str">
        <f t="shared" si="75"/>
        <v/>
      </c>
      <c r="I293" s="21" t="str">
        <f t="shared" si="79"/>
        <v/>
      </c>
      <c r="J293" s="109"/>
      <c r="K293" s="102">
        <v>155311</v>
      </c>
      <c r="L293" s="102">
        <v>153180</v>
      </c>
      <c r="M293" s="102">
        <f>153890+1200</f>
        <v>155090</v>
      </c>
      <c r="N293" s="102">
        <f>154600+1200</f>
        <v>155800</v>
      </c>
      <c r="O293" s="102">
        <f>155311+1100</f>
        <v>156411</v>
      </c>
      <c r="P293" s="103">
        <v>2.17</v>
      </c>
      <c r="Q293" s="104">
        <v>200</v>
      </c>
      <c r="R293" s="240">
        <v>250</v>
      </c>
      <c r="S293" s="240">
        <v>125</v>
      </c>
      <c r="T293" s="101"/>
      <c r="U293" s="105">
        <v>200</v>
      </c>
      <c r="V293" s="105">
        <v>100</v>
      </c>
      <c r="W293" s="108" t="s">
        <v>427</v>
      </c>
      <c r="X293" s="108" t="s">
        <v>441</v>
      </c>
    </row>
    <row r="294" spans="1:25" x14ac:dyDescent="0.25">
      <c r="A294" s="99">
        <v>133900</v>
      </c>
      <c r="B294" s="111" t="s">
        <v>369</v>
      </c>
      <c r="C294" s="20"/>
      <c r="D294" s="21" t="str">
        <f t="shared" si="77"/>
        <v/>
      </c>
      <c r="E294" s="21" t="str">
        <f t="shared" si="78"/>
        <v/>
      </c>
      <c r="F294" s="21" t="str">
        <f t="shared" si="73"/>
        <v/>
      </c>
      <c r="G294" s="21" t="str">
        <f t="shared" si="74"/>
        <v/>
      </c>
      <c r="H294" s="21" t="str">
        <f t="shared" si="75"/>
        <v/>
      </c>
      <c r="I294" s="21" t="str">
        <f t="shared" si="79"/>
        <v/>
      </c>
      <c r="J294" s="109"/>
      <c r="K294" s="102">
        <f>137168</f>
        <v>137168</v>
      </c>
      <c r="L294" s="102">
        <f>135180</f>
        <v>135180</v>
      </c>
      <c r="M294" s="102">
        <f>135842+1200</f>
        <v>137042</v>
      </c>
      <c r="N294" s="102">
        <f>136505+1200</f>
        <v>137705</v>
      </c>
      <c r="O294" s="102">
        <f>137168+1100</f>
        <v>138268</v>
      </c>
      <c r="P294" s="103">
        <v>2.17</v>
      </c>
      <c r="Q294" s="104">
        <v>200</v>
      </c>
      <c r="R294" s="240">
        <v>250</v>
      </c>
      <c r="S294" s="240">
        <v>125</v>
      </c>
      <c r="T294" s="101"/>
      <c r="U294" s="105">
        <v>200</v>
      </c>
      <c r="V294" s="105">
        <v>50</v>
      </c>
      <c r="W294" s="108" t="s">
        <v>427</v>
      </c>
      <c r="X294" s="108" t="s">
        <v>428</v>
      </c>
    </row>
    <row r="295" spans="1:25" x14ac:dyDescent="0.25">
      <c r="A295" s="99">
        <v>149900</v>
      </c>
      <c r="B295" s="111" t="s">
        <v>508</v>
      </c>
      <c r="C295" s="20"/>
      <c r="D295" s="21" t="str">
        <f t="shared" si="77"/>
        <v/>
      </c>
      <c r="E295" s="21" t="str">
        <f t="shared" si="78"/>
        <v/>
      </c>
      <c r="F295" s="21" t="str">
        <f t="shared" si="73"/>
        <v/>
      </c>
      <c r="G295" s="21" t="str">
        <f t="shared" si="74"/>
        <v/>
      </c>
      <c r="H295" s="21" t="str">
        <f t="shared" si="75"/>
        <v/>
      </c>
      <c r="I295" s="21" t="str">
        <f t="shared" si="79"/>
        <v/>
      </c>
      <c r="J295" s="109"/>
      <c r="K295" s="102">
        <v>155311</v>
      </c>
      <c r="L295" s="102">
        <v>153180</v>
      </c>
      <c r="M295" s="102">
        <f>153890+1200</f>
        <v>155090</v>
      </c>
      <c r="N295" s="102">
        <f>154600+1200</f>
        <v>155800</v>
      </c>
      <c r="O295" s="102">
        <f>155311+1100</f>
        <v>156411</v>
      </c>
      <c r="P295" s="103">
        <v>2.17</v>
      </c>
      <c r="Q295" s="104">
        <v>200</v>
      </c>
      <c r="R295" s="240">
        <v>250</v>
      </c>
      <c r="S295" s="240">
        <v>125</v>
      </c>
      <c r="T295" s="101"/>
      <c r="U295" s="105">
        <v>200</v>
      </c>
      <c r="V295" s="105">
        <v>100</v>
      </c>
      <c r="W295" s="108" t="s">
        <v>503</v>
      </c>
      <c r="X295" s="108" t="s">
        <v>507</v>
      </c>
    </row>
    <row r="296" spans="1:25" x14ac:dyDescent="0.25">
      <c r="A296" s="99">
        <v>131900</v>
      </c>
      <c r="B296" s="111" t="s">
        <v>505</v>
      </c>
      <c r="C296" s="20"/>
      <c r="D296" s="21" t="str">
        <f t="shared" si="77"/>
        <v/>
      </c>
      <c r="E296" s="21" t="str">
        <f t="shared" si="78"/>
        <v/>
      </c>
      <c r="F296" s="21" t="str">
        <f t="shared" si="73"/>
        <v/>
      </c>
      <c r="G296" s="21" t="str">
        <f t="shared" si="74"/>
        <v/>
      </c>
      <c r="H296" s="21" t="str">
        <f t="shared" si="75"/>
        <v/>
      </c>
      <c r="I296" s="21" t="str">
        <f t="shared" si="79"/>
        <v/>
      </c>
      <c r="J296" s="109"/>
      <c r="K296" s="102">
        <f>137168</f>
        <v>137168</v>
      </c>
      <c r="L296" s="102">
        <f>135180</f>
        <v>135180</v>
      </c>
      <c r="M296" s="102">
        <f>135842+1200</f>
        <v>137042</v>
      </c>
      <c r="N296" s="102">
        <f>136505+1200</f>
        <v>137705</v>
      </c>
      <c r="O296" s="102">
        <f>137168+1100</f>
        <v>138268</v>
      </c>
      <c r="P296" s="103">
        <v>2.17</v>
      </c>
      <c r="Q296" s="104">
        <v>200</v>
      </c>
      <c r="R296" s="240">
        <v>250</v>
      </c>
      <c r="S296" s="240">
        <v>125</v>
      </c>
      <c r="T296" s="101"/>
      <c r="U296" s="105">
        <v>200</v>
      </c>
      <c r="V296" s="105">
        <v>50</v>
      </c>
      <c r="W296" s="108" t="s">
        <v>503</v>
      </c>
      <c r="X296" s="108" t="s">
        <v>506</v>
      </c>
    </row>
    <row r="297" spans="1:25" x14ac:dyDescent="0.25">
      <c r="A297" s="99">
        <v>133400</v>
      </c>
      <c r="B297" s="111" t="s">
        <v>673</v>
      </c>
      <c r="C297" s="20">
        <v>50000</v>
      </c>
      <c r="D297" s="21">
        <f t="shared" si="77"/>
        <v>17152.095599999997</v>
      </c>
      <c r="E297" s="21">
        <f t="shared" si="78"/>
        <v>9638.0955999999987</v>
      </c>
      <c r="F297" s="21">
        <f t="shared" ref="F297:F312" si="80">IF(C297&gt;=1,(K297-C297)*(1+$P297*$F$4/100)/$F$4+Q297+S297, "")</f>
        <v>7175.0956000000006</v>
      </c>
      <c r="G297" s="21">
        <f t="shared" ref="G297:G312" si="81">IF(C297&gt;=1, (K297-C297)*(1+$P297*$G$4/100)/$G$4+Q297+S297,"")</f>
        <v>5943.5955999999996</v>
      </c>
      <c r="H297" s="21">
        <f t="shared" ref="H297:H312" si="82">IF(C297&gt;=1, (K297-C297)*(1+$P297*$H$4/100)/$H$4+Q297+S297, "")</f>
        <v>5204.6956</v>
      </c>
      <c r="I297" s="21">
        <f t="shared" si="79"/>
        <v>4712.0956000000006</v>
      </c>
      <c r="J297" s="109"/>
      <c r="K297" s="102">
        <f>138668</f>
        <v>138668</v>
      </c>
      <c r="L297" s="102">
        <f>136680</f>
        <v>136680</v>
      </c>
      <c r="M297" s="102">
        <f>137342+1200</f>
        <v>138542</v>
      </c>
      <c r="N297" s="102">
        <f>138005+1200</f>
        <v>139205</v>
      </c>
      <c r="O297" s="102">
        <f>138668+1100</f>
        <v>139768</v>
      </c>
      <c r="P297" s="103">
        <v>2.17</v>
      </c>
      <c r="Q297" s="104">
        <v>200</v>
      </c>
      <c r="R297" s="240">
        <v>250</v>
      </c>
      <c r="S297" s="240">
        <v>125</v>
      </c>
      <c r="T297" s="101"/>
      <c r="U297" s="105">
        <v>200</v>
      </c>
      <c r="V297" s="105">
        <v>50</v>
      </c>
      <c r="W297" s="108" t="s">
        <v>674</v>
      </c>
      <c r="X297" s="108" t="s">
        <v>675</v>
      </c>
    </row>
    <row r="298" spans="1:25" x14ac:dyDescent="0.25">
      <c r="A298" s="99">
        <v>154900</v>
      </c>
      <c r="B298" s="111" t="s">
        <v>676</v>
      </c>
      <c r="C298" s="20">
        <v>50000</v>
      </c>
      <c r="D298" s="21">
        <f t="shared" si="77"/>
        <v>21228.915366666664</v>
      </c>
      <c r="E298" s="21">
        <f t="shared" si="78"/>
        <v>11911.332033333332</v>
      </c>
      <c r="F298" s="21">
        <f t="shared" si="80"/>
        <v>8847.1375888888888</v>
      </c>
      <c r="G298" s="21">
        <f t="shared" si="81"/>
        <v>7315.0403666666671</v>
      </c>
      <c r="H298" s="21">
        <f t="shared" si="82"/>
        <v>6395.7820333333329</v>
      </c>
      <c r="I298" s="21">
        <f t="shared" si="79"/>
        <v>5782.9431444444454</v>
      </c>
      <c r="J298" s="109"/>
      <c r="K298" s="102">
        <f>160311</f>
        <v>160311</v>
      </c>
      <c r="L298" s="102">
        <f>158180</f>
        <v>158180</v>
      </c>
      <c r="M298" s="102">
        <f>158890+1200</f>
        <v>160090</v>
      </c>
      <c r="N298" s="102">
        <f>159600+1200</f>
        <v>160800</v>
      </c>
      <c r="O298" s="102">
        <f>160311+1100</f>
        <v>161411</v>
      </c>
      <c r="P298" s="103">
        <v>2.17</v>
      </c>
      <c r="Q298" s="104">
        <v>200</v>
      </c>
      <c r="R298" s="240">
        <v>250</v>
      </c>
      <c r="S298" s="240">
        <v>125</v>
      </c>
      <c r="T298" s="101"/>
      <c r="U298" s="105">
        <v>200</v>
      </c>
      <c r="V298" s="105">
        <v>100</v>
      </c>
      <c r="W298" s="108" t="s">
        <v>674</v>
      </c>
      <c r="X298" s="108" t="s">
        <v>677</v>
      </c>
    </row>
    <row r="299" spans="1:25" x14ac:dyDescent="0.25">
      <c r="A299" s="99">
        <v>94900</v>
      </c>
      <c r="B299" s="100" t="s">
        <v>106</v>
      </c>
      <c r="C299" s="20"/>
      <c r="D299" s="21" t="str">
        <f t="shared" si="77"/>
        <v/>
      </c>
      <c r="E299" s="21" t="str">
        <f t="shared" si="78"/>
        <v/>
      </c>
      <c r="F299" s="21" t="str">
        <f t="shared" si="80"/>
        <v/>
      </c>
      <c r="G299" s="21" t="str">
        <f t="shared" si="81"/>
        <v/>
      </c>
      <c r="H299" s="21" t="str">
        <f t="shared" si="82"/>
        <v/>
      </c>
      <c r="I299" s="21" t="str">
        <f t="shared" si="79"/>
        <v/>
      </c>
      <c r="J299" s="101"/>
      <c r="K299" s="102">
        <v>101146</v>
      </c>
      <c r="L299" s="102">
        <v>95684</v>
      </c>
      <c r="M299" s="102">
        <f>98464+240</f>
        <v>98704</v>
      </c>
      <c r="N299" s="102">
        <f>100285+240</f>
        <v>100525</v>
      </c>
      <c r="O299" s="102">
        <f>102006+240</f>
        <v>102246</v>
      </c>
      <c r="P299" s="103">
        <v>2.17</v>
      </c>
      <c r="Q299" s="104">
        <v>200</v>
      </c>
      <c r="R299" s="240">
        <v>250</v>
      </c>
      <c r="S299" s="240">
        <v>125</v>
      </c>
      <c r="T299" s="101"/>
      <c r="U299" s="105">
        <v>200</v>
      </c>
      <c r="V299" s="105">
        <v>100</v>
      </c>
      <c r="W299" s="106"/>
      <c r="X299" s="106"/>
    </row>
    <row r="300" spans="1:25" x14ac:dyDescent="0.25">
      <c r="A300" s="99">
        <v>97300</v>
      </c>
      <c r="B300" s="100" t="s">
        <v>129</v>
      </c>
      <c r="C300" s="20"/>
      <c r="D300" s="21" t="str">
        <f t="shared" ref="D300:D312" si="83">IF(C300&gt;=1,(K300-C300)*(1+P300*$D$4/100)/$D$4+Q300+R300,"")</f>
        <v/>
      </c>
      <c r="E300" s="21" t="str">
        <f t="shared" si="78"/>
        <v/>
      </c>
      <c r="F300" s="21" t="str">
        <f t="shared" si="80"/>
        <v/>
      </c>
      <c r="G300" s="21" t="str">
        <f t="shared" si="81"/>
        <v/>
      </c>
      <c r="H300" s="21" t="str">
        <f t="shared" si="82"/>
        <v/>
      </c>
      <c r="I300" s="21" t="str">
        <f t="shared" si="79"/>
        <v/>
      </c>
      <c r="J300" s="101"/>
      <c r="K300" s="102">
        <v>102645</v>
      </c>
      <c r="L300" s="102">
        <v>98879</v>
      </c>
      <c r="M300" s="102">
        <f>101094+240</f>
        <v>101334</v>
      </c>
      <c r="N300" s="102">
        <f>102349+240</f>
        <v>102589</v>
      </c>
      <c r="O300" s="102">
        <f>103505+240</f>
        <v>103745</v>
      </c>
      <c r="P300" s="103">
        <v>2.17</v>
      </c>
      <c r="Q300" s="104">
        <v>200</v>
      </c>
      <c r="R300" s="240">
        <v>250</v>
      </c>
      <c r="S300" s="240">
        <v>125</v>
      </c>
      <c r="T300" s="101"/>
      <c r="U300" s="105">
        <v>200</v>
      </c>
      <c r="V300" s="105">
        <v>100</v>
      </c>
      <c r="W300" s="106"/>
      <c r="X300" s="106"/>
    </row>
    <row r="301" spans="1:25" x14ac:dyDescent="0.25">
      <c r="A301" s="99">
        <v>96500</v>
      </c>
      <c r="B301" s="100" t="s">
        <v>175</v>
      </c>
      <c r="C301" s="20"/>
      <c r="D301" s="21" t="str">
        <f t="shared" si="83"/>
        <v/>
      </c>
      <c r="E301" s="21" t="str">
        <f t="shared" si="78"/>
        <v/>
      </c>
      <c r="F301" s="21" t="str">
        <f t="shared" si="80"/>
        <v/>
      </c>
      <c r="G301" s="21" t="str">
        <f t="shared" si="81"/>
        <v/>
      </c>
      <c r="H301" s="21" t="str">
        <f t="shared" si="82"/>
        <v/>
      </c>
      <c r="I301" s="21" t="str">
        <f t="shared" si="79"/>
        <v/>
      </c>
      <c r="J301" s="101"/>
      <c r="K301" s="102">
        <v>100903</v>
      </c>
      <c r="L301" s="102">
        <v>96499</v>
      </c>
      <c r="M301" s="102">
        <f>98927+240</f>
        <v>99167</v>
      </c>
      <c r="N301" s="102">
        <f>100395+240</f>
        <v>100635</v>
      </c>
      <c r="O301" s="102">
        <f>101763+240</f>
        <v>102003</v>
      </c>
      <c r="P301" s="103">
        <v>2.17</v>
      </c>
      <c r="Q301" s="104">
        <v>200</v>
      </c>
      <c r="R301" s="240">
        <v>250</v>
      </c>
      <c r="S301" s="240">
        <v>125</v>
      </c>
      <c r="T301" s="101"/>
      <c r="U301" s="105">
        <v>200</v>
      </c>
      <c r="V301" s="105">
        <v>100</v>
      </c>
      <c r="W301" s="108" t="s">
        <v>176</v>
      </c>
      <c r="X301" s="108"/>
    </row>
    <row r="302" spans="1:25" x14ac:dyDescent="0.25">
      <c r="A302" s="99">
        <v>97300</v>
      </c>
      <c r="B302" s="100" t="s">
        <v>187</v>
      </c>
      <c r="C302" s="20"/>
      <c r="D302" s="21" t="str">
        <f t="shared" si="83"/>
        <v/>
      </c>
      <c r="E302" s="21" t="str">
        <f t="shared" si="78"/>
        <v/>
      </c>
      <c r="F302" s="21" t="str">
        <f t="shared" si="80"/>
        <v/>
      </c>
      <c r="G302" s="21" t="str">
        <f t="shared" si="81"/>
        <v/>
      </c>
      <c r="H302" s="21" t="str">
        <f t="shared" si="82"/>
        <v/>
      </c>
      <c r="I302" s="21" t="str">
        <f t="shared" si="79"/>
        <v/>
      </c>
      <c r="J302" s="101"/>
      <c r="K302" s="102">
        <v>103145</v>
      </c>
      <c r="L302" s="102">
        <v>99695</v>
      </c>
      <c r="M302" s="102">
        <f>100845+1200</f>
        <v>102045</v>
      </c>
      <c r="N302" s="102">
        <f>101995+1200</f>
        <v>103195</v>
      </c>
      <c r="O302" s="102">
        <f>103145+1100</f>
        <v>104245</v>
      </c>
      <c r="P302" s="103">
        <v>2.17</v>
      </c>
      <c r="Q302" s="104">
        <v>200</v>
      </c>
      <c r="R302" s="240">
        <v>250</v>
      </c>
      <c r="S302" s="240">
        <v>125</v>
      </c>
      <c r="T302" s="101"/>
      <c r="U302" s="105">
        <v>200</v>
      </c>
      <c r="V302" s="105">
        <v>100</v>
      </c>
      <c r="W302" s="108" t="s">
        <v>243</v>
      </c>
      <c r="X302" s="108" t="s">
        <v>249</v>
      </c>
    </row>
    <row r="303" spans="1:25" x14ac:dyDescent="0.25">
      <c r="A303" s="99">
        <v>78400</v>
      </c>
      <c r="B303" s="100" t="s">
        <v>247</v>
      </c>
      <c r="C303" s="20"/>
      <c r="D303" s="21" t="str">
        <f t="shared" si="83"/>
        <v/>
      </c>
      <c r="E303" s="21" t="str">
        <f t="shared" si="78"/>
        <v/>
      </c>
      <c r="F303" s="21" t="str">
        <f t="shared" si="80"/>
        <v/>
      </c>
      <c r="G303" s="21" t="str">
        <f t="shared" si="81"/>
        <v/>
      </c>
      <c r="H303" s="21" t="str">
        <f t="shared" si="82"/>
        <v/>
      </c>
      <c r="I303" s="21" t="str">
        <f t="shared" si="79"/>
        <v/>
      </c>
      <c r="J303" s="101"/>
      <c r="K303" s="102">
        <v>84880</v>
      </c>
      <c r="L303" s="102">
        <v>84009</v>
      </c>
      <c r="M303" s="102">
        <f>84299+1200</f>
        <v>85499</v>
      </c>
      <c r="N303" s="102">
        <f>84589+1200</f>
        <v>85789</v>
      </c>
      <c r="O303" s="102">
        <f>84880+1100</f>
        <v>85980</v>
      </c>
      <c r="P303" s="103">
        <v>2.17</v>
      </c>
      <c r="Q303" s="104">
        <v>200</v>
      </c>
      <c r="R303" s="240">
        <v>250</v>
      </c>
      <c r="S303" s="240">
        <v>125</v>
      </c>
      <c r="T303" s="101"/>
      <c r="U303" s="105">
        <v>500</v>
      </c>
      <c r="V303" s="105">
        <v>100</v>
      </c>
      <c r="W303" s="108" t="s">
        <v>427</v>
      </c>
      <c r="X303" s="106" t="s">
        <v>435</v>
      </c>
      <c r="Y303" s="206"/>
    </row>
    <row r="304" spans="1:25" x14ac:dyDescent="0.25">
      <c r="A304" s="99">
        <v>78900</v>
      </c>
      <c r="B304" s="111" t="s">
        <v>492</v>
      </c>
      <c r="C304" s="20"/>
      <c r="D304" s="21" t="str">
        <f t="shared" si="83"/>
        <v/>
      </c>
      <c r="E304" s="21" t="str">
        <f t="shared" si="78"/>
        <v/>
      </c>
      <c r="F304" s="21" t="str">
        <f t="shared" si="80"/>
        <v/>
      </c>
      <c r="G304" s="21" t="str">
        <f t="shared" si="81"/>
        <v/>
      </c>
      <c r="H304" s="21" t="str">
        <f t="shared" si="82"/>
        <v/>
      </c>
      <c r="I304" s="21" t="str">
        <f t="shared" si="79"/>
        <v/>
      </c>
      <c r="J304" s="101"/>
      <c r="K304" s="102">
        <f>85380</f>
        <v>85380</v>
      </c>
      <c r="L304" s="102">
        <f>84509</f>
        <v>84509</v>
      </c>
      <c r="M304" s="102">
        <f>84800+1200</f>
        <v>86000</v>
      </c>
      <c r="N304" s="102">
        <f>85090+1200</f>
        <v>86290</v>
      </c>
      <c r="O304" s="102">
        <f>85380+1100</f>
        <v>86480</v>
      </c>
      <c r="P304" s="103">
        <v>2.17</v>
      </c>
      <c r="Q304" s="104">
        <v>200</v>
      </c>
      <c r="R304" s="240">
        <v>250</v>
      </c>
      <c r="S304" s="240">
        <v>125</v>
      </c>
      <c r="T304" s="101"/>
      <c r="U304" s="105">
        <v>500</v>
      </c>
      <c r="V304" s="105">
        <v>100</v>
      </c>
      <c r="W304" s="108" t="s">
        <v>493</v>
      </c>
      <c r="X304" s="106" t="s">
        <v>494</v>
      </c>
      <c r="Y304" s="206"/>
    </row>
    <row r="305" spans="1:24" x14ac:dyDescent="0.25">
      <c r="A305" s="99">
        <v>56900</v>
      </c>
      <c r="B305" s="107" t="s">
        <v>571</v>
      </c>
      <c r="C305" s="20"/>
      <c r="D305" s="21" t="str">
        <f t="shared" si="83"/>
        <v/>
      </c>
      <c r="E305" s="21" t="str">
        <f t="shared" si="78"/>
        <v/>
      </c>
      <c r="F305" s="21" t="str">
        <f t="shared" si="80"/>
        <v/>
      </c>
      <c r="G305" s="21" t="str">
        <f t="shared" si="81"/>
        <v/>
      </c>
      <c r="H305" s="21" t="str">
        <f t="shared" si="82"/>
        <v/>
      </c>
      <c r="I305" s="21" t="str">
        <f t="shared" si="79"/>
        <v/>
      </c>
      <c r="J305" s="101"/>
      <c r="K305" s="102">
        <v>63833</v>
      </c>
      <c r="L305" s="102">
        <v>62686</v>
      </c>
      <c r="M305" s="102">
        <f>63068+1200</f>
        <v>64268</v>
      </c>
      <c r="N305" s="102">
        <f>63451+1200</f>
        <v>64651</v>
      </c>
      <c r="O305" s="102">
        <f>63833+1100</f>
        <v>64933</v>
      </c>
      <c r="P305" s="103">
        <v>2.17</v>
      </c>
      <c r="Q305" s="104">
        <v>200</v>
      </c>
      <c r="R305" s="240">
        <v>250</v>
      </c>
      <c r="S305" s="240">
        <v>125</v>
      </c>
      <c r="T305" s="101"/>
      <c r="U305" s="105">
        <v>200</v>
      </c>
      <c r="V305" s="105">
        <v>100</v>
      </c>
      <c r="W305" s="108" t="s">
        <v>572</v>
      </c>
      <c r="X305" s="108" t="s">
        <v>573</v>
      </c>
    </row>
    <row r="306" spans="1:24" x14ac:dyDescent="0.25">
      <c r="A306" s="99">
        <v>123900</v>
      </c>
      <c r="B306" s="107" t="s">
        <v>550</v>
      </c>
      <c r="C306" s="20">
        <v>50000</v>
      </c>
      <c r="D306" s="21">
        <f t="shared" si="83"/>
        <v>15247.331866666666</v>
      </c>
      <c r="E306" s="21">
        <f t="shared" si="78"/>
        <v>8575.9985333333334</v>
      </c>
      <c r="F306" s="21">
        <f t="shared" si="80"/>
        <v>6393.8874222222221</v>
      </c>
      <c r="G306" s="21">
        <f t="shared" si="81"/>
        <v>5302.8318666666664</v>
      </c>
      <c r="H306" s="21">
        <f t="shared" si="82"/>
        <v>4648.1985333333332</v>
      </c>
      <c r="I306" s="21">
        <f t="shared" si="79"/>
        <v>4211.7763111111108</v>
      </c>
      <c r="J306" s="101"/>
      <c r="K306" s="102">
        <f>128556</f>
        <v>128556</v>
      </c>
      <c r="L306" s="102">
        <f>125239</f>
        <v>125239</v>
      </c>
      <c r="M306" s="102">
        <f>126344+1200</f>
        <v>127544</v>
      </c>
      <c r="N306" s="102">
        <f>127450+1200</f>
        <v>128650</v>
      </c>
      <c r="O306" s="102">
        <f>128556+1100</f>
        <v>129656</v>
      </c>
      <c r="P306" s="103">
        <v>2.17</v>
      </c>
      <c r="Q306" s="104">
        <v>200</v>
      </c>
      <c r="R306" s="240">
        <v>250</v>
      </c>
      <c r="S306" s="240">
        <v>125</v>
      </c>
      <c r="T306" s="101"/>
      <c r="U306" s="105">
        <v>350</v>
      </c>
      <c r="V306" s="105">
        <v>100</v>
      </c>
      <c r="W306" s="108" t="s">
        <v>702</v>
      </c>
      <c r="X306" s="108" t="s">
        <v>704</v>
      </c>
    </row>
    <row r="307" spans="1:24" x14ac:dyDescent="0.25">
      <c r="A307" s="99">
        <v>129900</v>
      </c>
      <c r="B307" s="107" t="s">
        <v>551</v>
      </c>
      <c r="C307" s="20">
        <v>50000</v>
      </c>
      <c r="D307" s="21">
        <f t="shared" si="83"/>
        <v>16339.105066666665</v>
      </c>
      <c r="E307" s="21">
        <f t="shared" si="78"/>
        <v>9184.771733333333</v>
      </c>
      <c r="F307" s="21">
        <f t="shared" si="80"/>
        <v>6841.6606222222217</v>
      </c>
      <c r="G307" s="21">
        <f t="shared" si="81"/>
        <v>5670.1050666666661</v>
      </c>
      <c r="H307" s="21">
        <f t="shared" si="82"/>
        <v>4967.1717333333327</v>
      </c>
      <c r="I307" s="21">
        <f t="shared" si="79"/>
        <v>4498.5495111111113</v>
      </c>
      <c r="J307" s="101"/>
      <c r="K307" s="102">
        <f>134352</f>
        <v>134352</v>
      </c>
      <c r="L307" s="102">
        <f>130870</f>
        <v>130870</v>
      </c>
      <c r="M307" s="102">
        <f>132030+1200</f>
        <v>133230</v>
      </c>
      <c r="N307" s="102">
        <f>133191+1200</f>
        <v>134391</v>
      </c>
      <c r="O307" s="102">
        <f>134352+1100</f>
        <v>135452</v>
      </c>
      <c r="P307" s="103">
        <v>2.17</v>
      </c>
      <c r="Q307" s="104">
        <v>200</v>
      </c>
      <c r="R307" s="240">
        <v>250</v>
      </c>
      <c r="S307" s="240">
        <v>125</v>
      </c>
      <c r="T307" s="101"/>
      <c r="U307" s="105">
        <v>350</v>
      </c>
      <c r="V307" s="105">
        <v>100</v>
      </c>
      <c r="W307" s="108" t="s">
        <v>702</v>
      </c>
      <c r="X307" s="108" t="s">
        <v>705</v>
      </c>
    </row>
    <row r="308" spans="1:24" x14ac:dyDescent="0.25">
      <c r="A308" s="99">
        <v>131900</v>
      </c>
      <c r="B308" s="107" t="s">
        <v>552</v>
      </c>
      <c r="C308" s="20">
        <v>50000</v>
      </c>
      <c r="D308" s="21">
        <f t="shared" si="83"/>
        <v>16703.029466666667</v>
      </c>
      <c r="E308" s="21">
        <f t="shared" si="78"/>
        <v>9387.6961333333329</v>
      </c>
      <c r="F308" s="21">
        <f t="shared" si="80"/>
        <v>6990.9183555555555</v>
      </c>
      <c r="G308" s="21">
        <f t="shared" si="81"/>
        <v>5792.5294666666668</v>
      </c>
      <c r="H308" s="21">
        <f t="shared" si="82"/>
        <v>5073.4961333333331</v>
      </c>
      <c r="I308" s="21">
        <f t="shared" si="79"/>
        <v>4594.1405777777782</v>
      </c>
      <c r="J308" s="101"/>
      <c r="K308" s="102">
        <f>136284</f>
        <v>136284</v>
      </c>
      <c r="L308" s="102">
        <f>132746</f>
        <v>132746</v>
      </c>
      <c r="M308" s="102">
        <f>133925+1200</f>
        <v>135125</v>
      </c>
      <c r="N308" s="102">
        <f>135104+1200</f>
        <v>136304</v>
      </c>
      <c r="O308" s="102">
        <f>136284+1100</f>
        <v>137384</v>
      </c>
      <c r="P308" s="103">
        <v>2.17</v>
      </c>
      <c r="Q308" s="104">
        <v>200</v>
      </c>
      <c r="R308" s="240">
        <v>250</v>
      </c>
      <c r="S308" s="240">
        <v>125</v>
      </c>
      <c r="T308" s="101"/>
      <c r="U308" s="105">
        <v>350</v>
      </c>
      <c r="V308" s="105">
        <v>100</v>
      </c>
      <c r="W308" s="108" t="s">
        <v>702</v>
      </c>
      <c r="X308" s="108" t="s">
        <v>706</v>
      </c>
    </row>
    <row r="309" spans="1:24" x14ac:dyDescent="0.25">
      <c r="A309" s="99">
        <v>94900</v>
      </c>
      <c r="B309" s="107" t="s">
        <v>145</v>
      </c>
      <c r="C309" s="20"/>
      <c r="D309" s="21" t="str">
        <f t="shared" si="83"/>
        <v/>
      </c>
      <c r="E309" s="21" t="str">
        <f t="shared" si="78"/>
        <v/>
      </c>
      <c r="F309" s="21" t="str">
        <f t="shared" si="80"/>
        <v/>
      </c>
      <c r="G309" s="21" t="str">
        <f t="shared" si="81"/>
        <v/>
      </c>
      <c r="H309" s="21" t="str">
        <f t="shared" si="82"/>
        <v/>
      </c>
      <c r="I309" s="21" t="str">
        <f t="shared" si="79"/>
        <v/>
      </c>
      <c r="J309" s="101"/>
      <c r="K309" s="102">
        <v>98132</v>
      </c>
      <c r="L309" s="102">
        <v>96916</v>
      </c>
      <c r="M309" s="102">
        <f>97321+1200</f>
        <v>98521</v>
      </c>
      <c r="N309" s="102">
        <f>97726+1200</f>
        <v>98926</v>
      </c>
      <c r="O309" s="102">
        <f>98132+1100</f>
        <v>99232</v>
      </c>
      <c r="P309" s="103">
        <v>2.17</v>
      </c>
      <c r="Q309" s="104">
        <v>200</v>
      </c>
      <c r="R309" s="240">
        <v>250</v>
      </c>
      <c r="S309" s="240">
        <v>125</v>
      </c>
      <c r="T309" s="101"/>
      <c r="U309" s="105">
        <v>200</v>
      </c>
      <c r="V309" s="105">
        <v>100</v>
      </c>
      <c r="W309" s="108" t="s">
        <v>427</v>
      </c>
      <c r="X309" s="108" t="s">
        <v>431</v>
      </c>
    </row>
    <row r="310" spans="1:24" x14ac:dyDescent="0.25">
      <c r="A310" s="99">
        <v>96900</v>
      </c>
      <c r="B310" s="107" t="s">
        <v>421</v>
      </c>
      <c r="C310" s="20"/>
      <c r="D310" s="21" t="str">
        <f t="shared" si="83"/>
        <v/>
      </c>
      <c r="E310" s="21" t="str">
        <f t="shared" si="78"/>
        <v/>
      </c>
      <c r="F310" s="21" t="str">
        <f t="shared" si="80"/>
        <v/>
      </c>
      <c r="G310" s="21" t="str">
        <f t="shared" si="81"/>
        <v/>
      </c>
      <c r="H310" s="21" t="str">
        <f t="shared" si="82"/>
        <v/>
      </c>
      <c r="I310" s="21" t="str">
        <f t="shared" si="79"/>
        <v/>
      </c>
      <c r="J310" s="101"/>
      <c r="K310" s="102">
        <v>100132</v>
      </c>
      <c r="L310" s="102">
        <v>98916</v>
      </c>
      <c r="M310" s="102">
        <f>99321+1200</f>
        <v>100521</v>
      </c>
      <c r="N310" s="102">
        <f>99726+1200</f>
        <v>100926</v>
      </c>
      <c r="O310" s="102">
        <f>100132+1100</f>
        <v>101232</v>
      </c>
      <c r="P310" s="103">
        <v>2.17</v>
      </c>
      <c r="Q310" s="104">
        <v>200</v>
      </c>
      <c r="R310" s="240">
        <v>250</v>
      </c>
      <c r="S310" s="240">
        <v>125</v>
      </c>
      <c r="T310" s="101"/>
      <c r="U310" s="105">
        <v>200</v>
      </c>
      <c r="V310" s="105">
        <v>100</v>
      </c>
      <c r="W310" s="108" t="s">
        <v>427</v>
      </c>
      <c r="X310" s="108" t="s">
        <v>436</v>
      </c>
    </row>
    <row r="311" spans="1:24" x14ac:dyDescent="0.25">
      <c r="A311" s="99">
        <v>97900</v>
      </c>
      <c r="B311" s="107" t="s">
        <v>658</v>
      </c>
      <c r="C311" s="20">
        <v>30000</v>
      </c>
      <c r="D311" s="21">
        <f t="shared" si="83"/>
        <v>13848.897733333331</v>
      </c>
      <c r="E311" s="21">
        <f t="shared" si="78"/>
        <v>7796.2310666666663</v>
      </c>
      <c r="F311" s="21">
        <f t="shared" si="80"/>
        <v>5820.3421777777785</v>
      </c>
      <c r="G311" s="21">
        <f t="shared" si="81"/>
        <v>4832.3977333333332</v>
      </c>
      <c r="H311" s="21">
        <f t="shared" si="82"/>
        <v>4239.6310666666668</v>
      </c>
      <c r="I311" s="21">
        <f t="shared" si="79"/>
        <v>3844.4532888888889</v>
      </c>
      <c r="J311" s="101"/>
      <c r="K311" s="102">
        <f>101132</f>
        <v>101132</v>
      </c>
      <c r="L311" s="102">
        <f>99916</f>
        <v>99916</v>
      </c>
      <c r="M311" s="102">
        <f>100321+1200</f>
        <v>101521</v>
      </c>
      <c r="N311" s="102">
        <f>100726+1200</f>
        <v>101926</v>
      </c>
      <c r="O311" s="102">
        <f>101132+1100</f>
        <v>102232</v>
      </c>
      <c r="P311" s="103">
        <v>2.17</v>
      </c>
      <c r="Q311" s="104">
        <v>200</v>
      </c>
      <c r="R311" s="240">
        <v>250</v>
      </c>
      <c r="S311" s="240">
        <v>125</v>
      </c>
      <c r="T311" s="101"/>
      <c r="U311" s="105">
        <v>200</v>
      </c>
      <c r="V311" s="105">
        <v>100</v>
      </c>
      <c r="W311" s="108" t="s">
        <v>656</v>
      </c>
      <c r="X311" s="108" t="s">
        <v>657</v>
      </c>
    </row>
    <row r="312" spans="1:24" x14ac:dyDescent="0.25">
      <c r="A312" s="99">
        <v>144400</v>
      </c>
      <c r="B312" s="100" t="s">
        <v>23</v>
      </c>
      <c r="C312" s="20"/>
      <c r="D312" s="21" t="str">
        <f t="shared" si="83"/>
        <v/>
      </c>
      <c r="E312" s="21" t="str">
        <f t="shared" si="78"/>
        <v/>
      </c>
      <c r="F312" s="21" t="str">
        <f t="shared" si="80"/>
        <v/>
      </c>
      <c r="G312" s="21" t="str">
        <f t="shared" si="81"/>
        <v/>
      </c>
      <c r="H312" s="21" t="str">
        <f t="shared" si="82"/>
        <v/>
      </c>
      <c r="I312" s="21" t="str">
        <f t="shared" si="79"/>
        <v/>
      </c>
      <c r="J312" s="101"/>
      <c r="K312" s="102">
        <v>151780</v>
      </c>
      <c r="L312" s="102">
        <v>143280</v>
      </c>
      <c r="M312" s="102">
        <f>147073+240</f>
        <v>147313</v>
      </c>
      <c r="N312" s="102">
        <f>149906+240</f>
        <v>150146</v>
      </c>
      <c r="O312" s="102">
        <f>152640+240</f>
        <v>152880</v>
      </c>
      <c r="P312" s="103">
        <v>2.17</v>
      </c>
      <c r="Q312" s="104"/>
      <c r="R312" s="240">
        <v>250</v>
      </c>
      <c r="S312" s="240">
        <v>125</v>
      </c>
      <c r="T312" s="101"/>
      <c r="U312" s="105">
        <v>200</v>
      </c>
      <c r="V312" s="105">
        <v>100</v>
      </c>
      <c r="W312" s="106"/>
      <c r="X312" s="106"/>
    </row>
    <row r="313" spans="1:24" x14ac:dyDescent="0.25">
      <c r="A313" s="105"/>
      <c r="B313" s="101"/>
      <c r="C313" s="194"/>
      <c r="D313" s="195"/>
      <c r="E313" s="195"/>
      <c r="F313" s="195"/>
      <c r="G313" s="195"/>
      <c r="H313" s="195"/>
      <c r="I313" s="195"/>
      <c r="J313" s="101"/>
      <c r="K313" s="104"/>
      <c r="L313" s="104"/>
      <c r="M313" s="104"/>
      <c r="N313" s="104"/>
      <c r="O313" s="104"/>
      <c r="P313" s="103"/>
      <c r="Q313" s="104"/>
      <c r="R313" s="104"/>
      <c r="S313" s="104"/>
      <c r="T313" s="101"/>
      <c r="U313" s="105"/>
      <c r="V313" s="105"/>
      <c r="W313" s="108"/>
      <c r="X313" s="108"/>
    </row>
    <row r="314" spans="1:24" ht="14.25" x14ac:dyDescent="0.25">
      <c r="A314" s="131"/>
      <c r="C314" s="9"/>
      <c r="D314" s="9"/>
      <c r="E314" s="7" t="str">
        <f>IF(C314&gt;=1,(K314-C314)*(1+P314*$E$4/100)/$E$4+Q314,"")</f>
        <v/>
      </c>
      <c r="F314" s="3"/>
      <c r="G314" s="3"/>
      <c r="H314" s="3"/>
      <c r="I314" s="3"/>
      <c r="J314" s="4"/>
      <c r="K314" s="3"/>
      <c r="L314" s="3"/>
      <c r="M314" s="3"/>
      <c r="N314" s="3"/>
      <c r="O314" s="3"/>
      <c r="P314" s="69"/>
      <c r="Q314" s="2"/>
      <c r="R314" s="2"/>
      <c r="S314" s="2"/>
      <c r="T314" s="4"/>
      <c r="U314" s="2"/>
      <c r="V314" s="2"/>
      <c r="W314" s="70"/>
      <c r="X314" s="70"/>
    </row>
    <row r="315" spans="1:24" ht="12" customHeight="1" x14ac:dyDescent="0.25">
      <c r="A315" s="132"/>
      <c r="B315" s="133" t="s">
        <v>40</v>
      </c>
      <c r="C315" s="10"/>
      <c r="D315" s="24" t="str">
        <f>IF(C315&gt;=1,(K315-C315)*(1+P315*$D$4/100)/$D$4+Q315,"")</f>
        <v/>
      </c>
      <c r="E315" s="12" t="str">
        <f>IF(C315&gt;=1,(K315-C315)*(1+P315*$E$4/100)/$E$4+Q315,"")</f>
        <v/>
      </c>
      <c r="F315" s="11"/>
      <c r="G315" s="11"/>
      <c r="H315" s="11"/>
      <c r="I315" s="11"/>
      <c r="J315" s="134"/>
      <c r="K315" s="135"/>
      <c r="L315" s="135"/>
      <c r="M315" s="135"/>
      <c r="N315" s="135"/>
      <c r="O315" s="135"/>
      <c r="P315" s="136"/>
      <c r="Q315" s="137"/>
      <c r="R315" s="137"/>
      <c r="S315" s="137"/>
      <c r="T315" s="134"/>
      <c r="U315" s="137"/>
      <c r="V315" s="137"/>
      <c r="W315" s="138"/>
      <c r="X315" s="138"/>
    </row>
    <row r="316" spans="1:24" ht="13.5" customHeight="1" x14ac:dyDescent="0.25">
      <c r="A316" s="139"/>
      <c r="B316" s="140" t="s">
        <v>95</v>
      </c>
      <c r="C316" s="25">
        <v>1</v>
      </c>
      <c r="D316" s="26">
        <f>IF(C316&gt;=1,(K316-C316)*(1+P316*$D$4/100)/$D$4+Q316+R316,"")</f>
        <v>13283.141666666665</v>
      </c>
      <c r="E316" s="26">
        <f>IF(C316&gt;=1,(K316-C316)*(1+P316*$E$4/100)/$E$4+Q316+S316,"")</f>
        <v>7491.5583333333334</v>
      </c>
      <c r="F316" s="26">
        <f>IF(C316&gt;=1,(K316-C316)*(1+$P316*$F$4/100)/$F$4+Q316+S316, "")</f>
        <v>5602.6972222222221</v>
      </c>
      <c r="G316" s="26">
        <f>IF(C316&gt;=1, (K316-C316)*(1+$P316*$G$4/100)/$G$4+Q316+S316,"")</f>
        <v>4658.2666666666673</v>
      </c>
      <c r="H316" s="26">
        <f>IF(C316&gt;=1, (K316-C316)*(1+$P316*$H$4/100)/$H$4+Q316+S316, "")</f>
        <v>4091.6083333333331</v>
      </c>
      <c r="I316" s="26">
        <f>IF(C316&gt;=1, (K316-C316)*(1+$P316*$I$4/100)/$I$4+Q316+S316, "")</f>
        <v>3713.8361111111108</v>
      </c>
      <c r="J316" s="141"/>
      <c r="K316" s="142">
        <v>68000</v>
      </c>
      <c r="L316" s="142">
        <v>65000</v>
      </c>
      <c r="M316" s="142">
        <f>66900+60</f>
        <v>66960</v>
      </c>
      <c r="N316" s="142">
        <f>67900+60</f>
        <v>67960</v>
      </c>
      <c r="O316" s="142">
        <f>68800+60</f>
        <v>68860</v>
      </c>
      <c r="P316" s="143">
        <v>2.5</v>
      </c>
      <c r="Q316" s="144"/>
      <c r="R316" s="241">
        <v>250</v>
      </c>
      <c r="S316" s="241">
        <v>125</v>
      </c>
      <c r="T316" s="141"/>
      <c r="U316" s="144">
        <v>500</v>
      </c>
      <c r="V316" s="144">
        <v>100</v>
      </c>
      <c r="W316" s="145"/>
      <c r="X316" s="145"/>
    </row>
    <row r="317" spans="1:24" x14ac:dyDescent="0.25">
      <c r="A317" s="139"/>
      <c r="B317" s="140" t="s">
        <v>96</v>
      </c>
      <c r="C317" s="25">
        <v>1</v>
      </c>
      <c r="D317" s="26">
        <f>IF(C317&gt;=1,(K317-C317)*(1+P317*$D$4/100)/$D$4+Q317+R317,"")</f>
        <v>22630.476999999999</v>
      </c>
      <c r="E317" s="26">
        <f>IF(C317&gt;=1,(K317-C317)*(1+P317*$E$4/100)/$E$4+Q317+S317,"")</f>
        <v>12672.227000000001</v>
      </c>
      <c r="F317" s="26">
        <f>IF(C317&gt;=1,(K317-C317)*(1+$P317*$F$4/100)/$F$4+Q317+S317, "")</f>
        <v>9394.476999999999</v>
      </c>
      <c r="G317" s="26">
        <f>IF(C317&gt;=1, (K317-C317)*(1+$P317*$G$4/100)/$G$4+Q317+S317,"")</f>
        <v>7755.6019999999999</v>
      </c>
      <c r="H317" s="26">
        <f>IF(C317&gt;=1, (K317-C317)*(1+$P317*$H$4/100)/$H$4+Q317+S317, "")</f>
        <v>6772.277</v>
      </c>
      <c r="I317" s="26">
        <f>IF(C317&gt;=1, (K317-C317)*(1+$P317*$I$4/100)/$I$4+Q317+S317, "")</f>
        <v>6116.7269999999999</v>
      </c>
      <c r="J317" s="141"/>
      <c r="K317" s="142">
        <v>118000</v>
      </c>
      <c r="L317" s="142">
        <v>106200</v>
      </c>
      <c r="M317" s="142">
        <v>111093</v>
      </c>
      <c r="N317" s="142">
        <v>115026</v>
      </c>
      <c r="O317" s="142">
        <v>118860</v>
      </c>
      <c r="P317" s="143">
        <v>2.2999999999999998</v>
      </c>
      <c r="Q317" s="144"/>
      <c r="R317" s="241">
        <v>250</v>
      </c>
      <c r="S317" s="241">
        <v>125</v>
      </c>
      <c r="T317" s="141"/>
      <c r="U317" s="144">
        <v>250</v>
      </c>
      <c r="V317" s="144">
        <v>100</v>
      </c>
      <c r="W317" s="145"/>
      <c r="X317" s="145"/>
    </row>
    <row r="318" spans="1:24" x14ac:dyDescent="0.25">
      <c r="A318" s="3"/>
      <c r="C318" s="5"/>
      <c r="D318" s="3"/>
      <c r="E318" s="3"/>
      <c r="F318" s="3"/>
      <c r="G318" s="3"/>
      <c r="H318" s="3"/>
      <c r="I318" s="3"/>
      <c r="M318" s="3"/>
      <c r="N318" s="3"/>
      <c r="O318" s="3"/>
      <c r="Q318" s="2"/>
      <c r="R318" s="2"/>
      <c r="S318" s="2"/>
      <c r="U318" s="2"/>
      <c r="V318" s="2"/>
      <c r="W318" s="70"/>
      <c r="X318" s="70"/>
    </row>
    <row r="319" spans="1:24" x14ac:dyDescent="0.25">
      <c r="A319" s="3"/>
      <c r="C319" s="4"/>
      <c r="J319" s="4"/>
      <c r="K319" s="146" t="s">
        <v>41</v>
      </c>
      <c r="L319" s="203">
        <v>6</v>
      </c>
      <c r="M319" s="204">
        <v>12</v>
      </c>
      <c r="N319" s="204">
        <v>18</v>
      </c>
      <c r="O319" s="204">
        <v>24</v>
      </c>
      <c r="P319" s="204">
        <v>30</v>
      </c>
      <c r="Q319" s="204">
        <v>36</v>
      </c>
      <c r="R319" s="2"/>
      <c r="S319" s="2"/>
    </row>
    <row r="320" spans="1:24" x14ac:dyDescent="0.25">
      <c r="C320" s="4"/>
      <c r="J320" s="4"/>
      <c r="K320" s="148">
        <v>2.17</v>
      </c>
      <c r="L320" s="229">
        <f>1+K320*$L$319/100</f>
        <v>1.1301999999999999</v>
      </c>
      <c r="M320" s="229">
        <f>1+K320*$M$319/100</f>
        <v>1.2604</v>
      </c>
      <c r="N320" s="229">
        <f>1+K320*$N$319/100</f>
        <v>1.3906000000000001</v>
      </c>
      <c r="O320" s="229">
        <f>1+K320*$O$319/100</f>
        <v>1.5207999999999999</v>
      </c>
      <c r="P320" s="229">
        <f>1+K320*$P$319/100</f>
        <v>1.6509999999999998</v>
      </c>
      <c r="Q320" s="229">
        <f>1+K320*$Q$319/100</f>
        <v>1.7812000000000001</v>
      </c>
      <c r="R320" s="2"/>
      <c r="S320" s="2"/>
    </row>
    <row r="321" spans="3:24" x14ac:dyDescent="0.25">
      <c r="C321" s="4"/>
      <c r="J321" s="4"/>
      <c r="K321" s="148">
        <v>2.2999999999999998</v>
      </c>
      <c r="L321" s="229">
        <f>1+K321*$L$319/100</f>
        <v>1.1379999999999999</v>
      </c>
      <c r="M321" s="229">
        <f>1+K321*$M$319/100</f>
        <v>1.276</v>
      </c>
      <c r="N321" s="229">
        <f>1+K321*$N$319/100</f>
        <v>1.4139999999999999</v>
      </c>
      <c r="O321" s="229">
        <f>1+K321*$O$319/100</f>
        <v>1.552</v>
      </c>
      <c r="P321" s="229">
        <f>1+K321*$P$319/100</f>
        <v>1.69</v>
      </c>
      <c r="Q321" s="229">
        <f>1+K321*$Q$319/100</f>
        <v>1.8279999999999998</v>
      </c>
      <c r="R321" s="2"/>
      <c r="S321" s="2"/>
    </row>
    <row r="322" spans="3:24" x14ac:dyDescent="0.25">
      <c r="C322" s="4"/>
      <c r="J322" s="4"/>
      <c r="K322" s="148">
        <v>2.5</v>
      </c>
      <c r="L322" s="229">
        <f>1+K322*$L$319/100</f>
        <v>1.1499999999999999</v>
      </c>
      <c r="M322" s="229">
        <f>1+K322*$M$319/100</f>
        <v>1.3</v>
      </c>
      <c r="N322" s="229">
        <f>1+K322*$N$319/100</f>
        <v>1.45</v>
      </c>
      <c r="O322" s="229">
        <f>1+K322*$O$319/100</f>
        <v>1.6</v>
      </c>
      <c r="P322" s="229">
        <f>1+K322*$P$319/100</f>
        <v>1.75</v>
      </c>
      <c r="Q322" s="229">
        <f>1+K322*$Q$319/100</f>
        <v>1.9</v>
      </c>
      <c r="R322" s="2"/>
      <c r="S322" s="2"/>
    </row>
    <row r="323" spans="3:24" x14ac:dyDescent="0.25">
      <c r="C323" s="4"/>
      <c r="J323" s="4"/>
      <c r="K323" s="148">
        <v>3</v>
      </c>
      <c r="L323" s="229">
        <f>1+K323*$L$319/100</f>
        <v>1.18</v>
      </c>
      <c r="M323" s="229">
        <f>1+K323*$M$319/100</f>
        <v>1.3599999999999999</v>
      </c>
      <c r="N323" s="229">
        <f>1+K323*$N$319/100</f>
        <v>1.54</v>
      </c>
      <c r="O323" s="229">
        <f>1+K323*$O$319/100</f>
        <v>1.72</v>
      </c>
      <c r="P323" s="229">
        <f>1+K323*$P$319/100</f>
        <v>1.9</v>
      </c>
      <c r="Q323" s="229">
        <f>1+K323*$Q$319/100</f>
        <v>2.08</v>
      </c>
      <c r="R323" s="2"/>
      <c r="S323" s="2"/>
    </row>
    <row r="324" spans="3:24" x14ac:dyDescent="0.25">
      <c r="C324" s="4"/>
      <c r="J324" s="4"/>
      <c r="K324" s="148">
        <v>3.25</v>
      </c>
      <c r="L324" s="229">
        <f>1+K324*$L$319/100</f>
        <v>1.1950000000000001</v>
      </c>
      <c r="M324" s="229">
        <f>1+K324*$M$319/100</f>
        <v>1.3900000000000001</v>
      </c>
      <c r="N324" s="229">
        <f>1+K324*$N$319/100</f>
        <v>1.585</v>
      </c>
      <c r="O324" s="229">
        <f>1+K324*$O$319/100</f>
        <v>1.78</v>
      </c>
      <c r="P324" s="229">
        <f>1+K324*$P$319/100</f>
        <v>1.9750000000000001</v>
      </c>
      <c r="Q324" s="229">
        <f>1+K324*$Q$319/100</f>
        <v>2.17</v>
      </c>
      <c r="R324" s="2"/>
      <c r="S324" s="2"/>
    </row>
    <row r="325" spans="3:24" x14ac:dyDescent="0.25">
      <c r="C325" s="5"/>
      <c r="D325" s="3"/>
      <c r="E325" s="3"/>
      <c r="F325" s="3"/>
      <c r="G325" s="3"/>
      <c r="H325" s="3"/>
      <c r="I325" s="3"/>
      <c r="K325" s="3"/>
      <c r="L325" s="3"/>
      <c r="M325" s="3"/>
      <c r="N325" s="3"/>
      <c r="O325" s="3"/>
      <c r="P325" s="69"/>
      <c r="Q325" s="2"/>
      <c r="R325" s="2"/>
      <c r="S325" s="2"/>
      <c r="U325" s="2"/>
      <c r="V325" s="2"/>
      <c r="W325" s="70"/>
      <c r="X325" s="70"/>
    </row>
    <row r="326" spans="3:24" x14ac:dyDescent="0.25">
      <c r="C326" s="5"/>
      <c r="D326" s="3"/>
      <c r="E326" s="3"/>
      <c r="F326" s="3"/>
      <c r="G326" s="3"/>
      <c r="H326" s="3"/>
      <c r="I326" s="3"/>
      <c r="Q326" s="4"/>
      <c r="R326" s="4"/>
      <c r="S326" s="4"/>
    </row>
    <row r="327" spans="3:24" x14ac:dyDescent="0.25">
      <c r="C327" s="5"/>
      <c r="D327" s="3"/>
      <c r="E327" s="3"/>
      <c r="F327" s="3"/>
      <c r="G327" s="3"/>
      <c r="H327" s="3"/>
      <c r="I327" s="3"/>
      <c r="Q327" s="4"/>
      <c r="R327" s="4"/>
      <c r="S327" s="4"/>
    </row>
    <row r="328" spans="3:24" x14ac:dyDescent="0.25">
      <c r="C328" s="5"/>
      <c r="D328" s="3"/>
      <c r="E328" s="3"/>
      <c r="F328" s="3"/>
      <c r="G328" s="3"/>
      <c r="H328" s="3"/>
      <c r="I328" s="3"/>
      <c r="Q328" s="4"/>
      <c r="R328" s="4"/>
      <c r="S328" s="4"/>
    </row>
    <row r="329" spans="3:24" x14ac:dyDescent="0.25">
      <c r="C329" s="5"/>
      <c r="D329" s="3"/>
      <c r="E329" s="3"/>
      <c r="F329" s="3"/>
      <c r="G329" s="3"/>
      <c r="H329" s="3"/>
      <c r="I329" s="3"/>
    </row>
    <row r="330" spans="3:24" x14ac:dyDescent="0.25">
      <c r="C330" s="5"/>
      <c r="D330" s="3"/>
      <c r="E330" s="3"/>
      <c r="F330" s="3"/>
      <c r="G330" s="3"/>
      <c r="H330" s="3"/>
      <c r="I330" s="3"/>
    </row>
    <row r="333" spans="3:24" x14ac:dyDescent="0.25">
      <c r="J333" s="4"/>
      <c r="P333" s="4"/>
      <c r="Q333" s="4"/>
      <c r="R333" s="4"/>
      <c r="S333" s="4"/>
      <c r="T333" s="4"/>
      <c r="W333" s="149"/>
      <c r="X333" s="149"/>
    </row>
    <row r="334" spans="3:24" x14ac:dyDescent="0.25">
      <c r="J334" s="4"/>
      <c r="P334" s="4"/>
      <c r="Q334" s="4"/>
      <c r="R334" s="4"/>
      <c r="S334" s="4"/>
      <c r="T334" s="4"/>
      <c r="W334" s="149"/>
      <c r="X334" s="149"/>
    </row>
    <row r="335" spans="3:24" x14ac:dyDescent="0.25">
      <c r="J335" s="4"/>
      <c r="P335" s="4"/>
      <c r="Q335" s="4"/>
      <c r="R335" s="4"/>
      <c r="S335" s="4"/>
      <c r="T335" s="4"/>
      <c r="W335" s="149"/>
      <c r="X335" s="149"/>
    </row>
  </sheetData>
  <sheetProtection algorithmName="SHA-512" hashValue="TkRzYMMi7/nnAgu9wchrB6Ee0fH0e5xzmZs1qei8jXVcQ/fXmKTaNcRUmTglZSdCOKQPzOlTy0rGUvtbsDyYXQ==" saltValue="4SYFYy9cPxUnmQoIkzP7Vw==" spinCount="100000" sheet="1" objects="1" scenarios="1"/>
  <mergeCells count="40">
    <mergeCell ref="A2:B2"/>
    <mergeCell ref="P4:Q4"/>
    <mergeCell ref="U4:V4"/>
    <mergeCell ref="A6:V6"/>
    <mergeCell ref="A212:X212"/>
    <mergeCell ref="P56:Q56"/>
    <mergeCell ref="U56:V56"/>
    <mergeCell ref="A57:V57"/>
    <mergeCell ref="P96:Q96"/>
    <mergeCell ref="U96:V96"/>
    <mergeCell ref="A97:V97"/>
    <mergeCell ref="A110:A111"/>
    <mergeCell ref="C110:C111"/>
    <mergeCell ref="D110:D111"/>
    <mergeCell ref="E110:E111"/>
    <mergeCell ref="F110:F111"/>
    <mergeCell ref="G110:G111"/>
    <mergeCell ref="H110:H111"/>
    <mergeCell ref="I110:I111"/>
    <mergeCell ref="K110:K111"/>
    <mergeCell ref="L110:L111"/>
    <mergeCell ref="M110:M111"/>
    <mergeCell ref="N110:N111"/>
    <mergeCell ref="O110:O111"/>
    <mergeCell ref="P110:P111"/>
    <mergeCell ref="R110:R111"/>
    <mergeCell ref="S110:S111"/>
    <mergeCell ref="U110:U111"/>
    <mergeCell ref="V110:V111"/>
    <mergeCell ref="W110:W111"/>
    <mergeCell ref="X110:X111"/>
    <mergeCell ref="P213:Q213"/>
    <mergeCell ref="U213:V213"/>
    <mergeCell ref="A214:V214"/>
    <mergeCell ref="C195:I195"/>
    <mergeCell ref="K195:X195"/>
    <mergeCell ref="C202:I202"/>
    <mergeCell ref="K202:X202"/>
    <mergeCell ref="C209:I209"/>
    <mergeCell ref="K209:X209"/>
  </mergeCells>
  <conditionalFormatting sqref="C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{99303EDC-BECC-4C97-B4F6-ED19A6C8601E}</x14:id>
        </ext>
      </extLst>
    </cfRule>
  </conditionalFormatting>
  <conditionalFormatting sqref="C7:C26 C28:C5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{4CD6FAC8-E66E-4C14-B5A8-B9A0E4ACDE93}</x14:id>
        </ext>
      </extLst>
    </cfRule>
  </conditionalFormatting>
  <pageMargins left="0.25" right="0.25" top="0.25" bottom="0.25" header="0.31496062992126" footer="0.31496062992126"/>
  <pageSetup scale="62" orientation="portrait" r:id="rId1"/>
  <rowBreaks count="1" manualBreakCount="1">
    <brk id="51" max="23" man="1"/>
  </row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303EDC-BECC-4C97-B4F6-ED19A6C860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</xm:sqref>
        </x14:conditionalFormatting>
        <x14:conditionalFormatting xmlns:xm="http://schemas.microsoft.com/office/excel/2006/main">
          <x14:cfRule type="dataBar" id="{4CD6FAC8-E66E-4C14-B5A8-B9A0E4ACDE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C7:C26 C28:C54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9"/>
  <sheetViews>
    <sheetView workbookViewId="0">
      <selection activeCell="B66" sqref="B66"/>
    </sheetView>
  </sheetViews>
  <sheetFormatPr defaultColWidth="9.140625" defaultRowHeight="12" x14ac:dyDescent="0.25"/>
  <cols>
    <col min="1" max="1" width="7.42578125" style="4" customWidth="1"/>
    <col min="2" max="2" width="35.42578125" style="4" customWidth="1"/>
    <col min="3" max="3" width="9" style="6" customWidth="1"/>
    <col min="4" max="9" width="7.28515625" style="4" customWidth="1"/>
    <col min="10" max="10" width="0.7109375" style="64" customWidth="1"/>
    <col min="11" max="15" width="7.7109375" style="4" customWidth="1"/>
    <col min="16" max="16" width="5.85546875" style="65" customWidth="1"/>
    <col min="17" max="17" width="4" style="65" customWidth="1"/>
    <col min="18" max="18" width="0.85546875" style="64" customWidth="1"/>
    <col min="19" max="19" width="4" style="4" customWidth="1"/>
    <col min="20" max="20" width="3.85546875" style="4" customWidth="1"/>
    <col min="21" max="21" width="8.7109375" style="66" customWidth="1"/>
    <col min="22" max="16384" width="9.140625" style="4"/>
  </cols>
  <sheetData>
    <row r="1" spans="1:22" x14ac:dyDescent="0.25">
      <c r="A1" s="4" t="s">
        <v>189</v>
      </c>
    </row>
    <row r="2" spans="1:22" s="2" customFormat="1" x14ac:dyDescent="0.25">
      <c r="A2" s="15" t="s">
        <v>0</v>
      </c>
      <c r="B2" s="14" t="s">
        <v>47</v>
      </c>
      <c r="C2" s="67" t="s">
        <v>80</v>
      </c>
      <c r="D2" s="15">
        <v>6</v>
      </c>
      <c r="E2" s="13">
        <v>12</v>
      </c>
      <c r="F2" s="13">
        <v>18</v>
      </c>
      <c r="G2" s="13">
        <v>24</v>
      </c>
      <c r="H2" s="13">
        <v>30</v>
      </c>
      <c r="I2" s="13">
        <v>36</v>
      </c>
      <c r="J2" s="1"/>
      <c r="K2" s="13" t="s">
        <v>2</v>
      </c>
      <c r="L2" s="13" t="s">
        <v>1</v>
      </c>
      <c r="M2" s="13" t="s">
        <v>3</v>
      </c>
      <c r="N2" s="13" t="s">
        <v>4</v>
      </c>
      <c r="O2" s="13" t="s">
        <v>5</v>
      </c>
      <c r="P2" s="261" t="s">
        <v>6</v>
      </c>
      <c r="Q2" s="262"/>
      <c r="R2" s="8"/>
      <c r="S2" s="259" t="s">
        <v>7</v>
      </c>
      <c r="T2" s="260"/>
      <c r="U2" s="57" t="s">
        <v>152</v>
      </c>
    </row>
    <row r="3" spans="1:22" s="2" customFormat="1" x14ac:dyDescent="0.25">
      <c r="A3" s="1"/>
      <c r="C3" s="68" t="s">
        <v>8</v>
      </c>
      <c r="J3" s="1"/>
      <c r="P3" s="69"/>
      <c r="Q3" s="69"/>
      <c r="R3" s="1"/>
      <c r="U3" s="70"/>
    </row>
    <row r="4" spans="1:22" ht="14.25" customHeight="1" x14ac:dyDescent="0.25">
      <c r="A4" s="281" t="s">
        <v>9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71"/>
    </row>
    <row r="5" spans="1:22" ht="13.5" customHeight="1" x14ac:dyDescent="0.25">
      <c r="A5" s="72">
        <v>68900</v>
      </c>
      <c r="B5" s="73" t="s">
        <v>102</v>
      </c>
      <c r="C5" s="17">
        <v>1</v>
      </c>
      <c r="D5" s="16">
        <f>IF(C5&gt;=1,(K5-C5)*(1+P5*PRICING!$D$4/100)/PRICING!$D$4+Q5,"")</f>
        <v>13554.488599999999</v>
      </c>
      <c r="E5" s="16">
        <f>IF(C5&gt;=1,(K5-C5)*(1+P5*PRICING!$E$4/100)/PRICING!$E$4+Q5,"")</f>
        <v>7557.9885999999997</v>
      </c>
      <c r="F5" s="16">
        <f>IF(C5&gt;=1,(K5-C5)*(1+$P5*PRICING!$F$4/100)/PRICING!$F$4+Q5, "")</f>
        <v>5559.1552666666666</v>
      </c>
      <c r="G5" s="16">
        <f>IF(C5&gt;=1, (K5-C5)*(1+$P5*PRICING!$G$4/100)/PRICING!$G$4+Q5,"")</f>
        <v>4559.7385999999997</v>
      </c>
      <c r="H5" s="16">
        <f>IF(C5&gt;=1, (K5-C5)*(1+$P5*PRICING!$H$4/100)/PRICING!$H$4+Q5, "")</f>
        <v>3960.0885999999996</v>
      </c>
      <c r="I5" s="16">
        <f>IF(C5&gt;=1, (K5-C5)*(1+$P5*PRICING!$I$4/100)/PRICING!$I$4+Q5, "")</f>
        <v>3560.3219333333336</v>
      </c>
      <c r="J5" s="74"/>
      <c r="K5" s="75">
        <v>71959</v>
      </c>
      <c r="L5" s="76">
        <v>69903</v>
      </c>
      <c r="M5" s="76">
        <v>71548</v>
      </c>
      <c r="N5" s="76">
        <v>72233</v>
      </c>
      <c r="O5" s="76">
        <v>72819</v>
      </c>
      <c r="P5" s="77">
        <v>2.17</v>
      </c>
      <c r="Q5" s="78"/>
      <c r="R5" s="74"/>
      <c r="S5" s="79">
        <v>200</v>
      </c>
      <c r="T5" s="79">
        <v>100</v>
      </c>
      <c r="U5" s="80"/>
      <c r="V5" s="80"/>
    </row>
    <row r="6" spans="1:22" s="157" customFormat="1" ht="13.5" customHeight="1" x14ac:dyDescent="0.25">
      <c r="A6" s="153">
        <v>89900</v>
      </c>
      <c r="B6" s="154" t="s">
        <v>103</v>
      </c>
      <c r="C6" s="155">
        <v>1</v>
      </c>
      <c r="D6" s="156">
        <f>IF(C6&gt;=1,(K6-C6)*(1+P6*$D$2/100)/$D$2+Q6,"")</f>
        <v>17375.694799999997</v>
      </c>
      <c r="E6" s="156">
        <f>IF(C6&gt;=1,(K6-C6)*(1+P6*$E$2/100)/$E$2+Q6,"")</f>
        <v>9688.6947999999993</v>
      </c>
      <c r="F6" s="156">
        <f>IF(C6&gt;=1,(K6-C6)*(1+$P6*$F$2/100)/$F$2+Q6, "")</f>
        <v>7126.3614666666663</v>
      </c>
      <c r="G6" s="156">
        <f>IF(C6&gt;=1, (K6-C6)*(1+$P6*$G$2/100)/$G$2+Q6,"")</f>
        <v>5845.1948000000002</v>
      </c>
      <c r="H6" s="156">
        <f>IF(C6&gt;=1, (K6-C6)*(1+$P6*$H$2/100)/$H$2+Q6, "")</f>
        <v>5076.4947999999995</v>
      </c>
      <c r="I6" s="156">
        <f>IF(C6&gt;=1, (K6-C6)*(1+$P6*$I$2/100)/$I$2+Q6, "")</f>
        <v>4564.0281333333332</v>
      </c>
      <c r="K6" s="158">
        <v>92245</v>
      </c>
      <c r="L6" s="159">
        <v>90488</v>
      </c>
      <c r="M6" s="159">
        <v>92033</v>
      </c>
      <c r="N6" s="159">
        <v>92619</v>
      </c>
      <c r="O6" s="159">
        <v>93105</v>
      </c>
      <c r="P6" s="160">
        <v>2.17</v>
      </c>
      <c r="Q6" s="161"/>
      <c r="S6" s="161">
        <v>200</v>
      </c>
      <c r="T6" s="161">
        <v>100</v>
      </c>
      <c r="U6" s="162"/>
    </row>
    <row r="7" spans="1:22" s="157" customFormat="1" x14ac:dyDescent="0.25">
      <c r="A7" s="153">
        <v>75900</v>
      </c>
      <c r="B7" s="154" t="s">
        <v>64</v>
      </c>
      <c r="C7" s="155">
        <v>1</v>
      </c>
      <c r="D7" s="156">
        <f t="shared" ref="D7:D14" si="0">IF(C7&gt;=1,(K7-C7)*(1+P7*$D$2/100)/$D$2+Q7,"")</f>
        <v>16590.666666666664</v>
      </c>
      <c r="E7" s="156">
        <f t="shared" ref="E7:E14" si="1">IF(C7&gt;=1,(K7-C7)*(1+P7*$E$2/100)/$E$2+Q7,"")</f>
        <v>9377.3333333333339</v>
      </c>
      <c r="F7" s="156">
        <f t="shared" ref="F7:F14" si="2">IF(C7&gt;=1,(K7-C7)*(1+$P7*$F$2/100)/$F$2+Q7, "")</f>
        <v>6972.8888888888887</v>
      </c>
      <c r="G7" s="156">
        <f t="shared" ref="G7:G14" si="3">IF(C7&gt;=1, (K7-C7)*(1+$P7*$G$2/100)/$G$2+Q7,"")</f>
        <v>5770.666666666667</v>
      </c>
      <c r="H7" s="156">
        <f t="shared" ref="H7:H14" si="4">IF(C7&gt;=1, (K7-C7)*(1+$P7*$H$2/100)/$H$2+Q7, "")</f>
        <v>5049.333333333333</v>
      </c>
      <c r="I7" s="156">
        <f t="shared" ref="I7:I14" si="5">IF(C7&gt;=1, (K7-C7)*(1+$P7*$I$2/100)/$I$2+Q7, "")</f>
        <v>4568.4444444444443</v>
      </c>
      <c r="K7" s="158">
        <v>86561</v>
      </c>
      <c r="L7" s="159">
        <v>82845</v>
      </c>
      <c r="M7" s="159">
        <f>84984+60</f>
        <v>85044</v>
      </c>
      <c r="N7" s="159">
        <f>86223+60</f>
        <v>86283</v>
      </c>
      <c r="O7" s="159">
        <f>87361+60</f>
        <v>87421</v>
      </c>
      <c r="P7" s="160">
        <v>2.5</v>
      </c>
      <c r="Q7" s="161"/>
      <c r="S7" s="161">
        <v>400</v>
      </c>
      <c r="T7" s="161">
        <v>100</v>
      </c>
      <c r="U7" s="162"/>
    </row>
    <row r="8" spans="1:22" s="157" customFormat="1" x14ac:dyDescent="0.25">
      <c r="A8" s="153">
        <v>63100</v>
      </c>
      <c r="B8" s="154" t="s">
        <v>66</v>
      </c>
      <c r="C8" s="155">
        <v>1</v>
      </c>
      <c r="D8" s="156">
        <f t="shared" si="0"/>
        <v>13186.474999999999</v>
      </c>
      <c r="E8" s="156">
        <f t="shared" si="1"/>
        <v>7453.2249999999995</v>
      </c>
      <c r="F8" s="156">
        <f t="shared" si="2"/>
        <v>5542.1416666666664</v>
      </c>
      <c r="G8" s="156">
        <f t="shared" si="3"/>
        <v>4586.6000000000004</v>
      </c>
      <c r="H8" s="156">
        <f t="shared" si="4"/>
        <v>4013.2750000000001</v>
      </c>
      <c r="I8" s="156">
        <f t="shared" si="5"/>
        <v>3631.0583333333329</v>
      </c>
      <c r="K8" s="158">
        <v>68800</v>
      </c>
      <c r="L8" s="159">
        <v>66500</v>
      </c>
      <c r="M8" s="159">
        <f>68167+60</f>
        <v>68227</v>
      </c>
      <c r="N8" s="159">
        <f>68934+60</f>
        <v>68994</v>
      </c>
      <c r="O8" s="159">
        <f>69600+60</f>
        <v>69660</v>
      </c>
      <c r="P8" s="160">
        <v>2.5</v>
      </c>
      <c r="Q8" s="161"/>
      <c r="S8" s="161">
        <v>500</v>
      </c>
      <c r="T8" s="161">
        <v>100</v>
      </c>
      <c r="U8" s="162"/>
    </row>
    <row r="9" spans="1:22" s="157" customFormat="1" x14ac:dyDescent="0.25">
      <c r="A9" s="153">
        <v>61900</v>
      </c>
      <c r="B9" s="154" t="s">
        <v>67</v>
      </c>
      <c r="C9" s="155">
        <v>1</v>
      </c>
      <c r="D9" s="156">
        <f t="shared" si="0"/>
        <v>12261.539799999999</v>
      </c>
      <c r="E9" s="156">
        <f t="shared" si="1"/>
        <v>6837.0397999999996</v>
      </c>
      <c r="F9" s="156">
        <f t="shared" si="2"/>
        <v>5028.8731333333335</v>
      </c>
      <c r="G9" s="156">
        <f t="shared" si="3"/>
        <v>4124.7897999999996</v>
      </c>
      <c r="H9" s="156">
        <f t="shared" si="4"/>
        <v>3582.3397999999997</v>
      </c>
      <c r="I9" s="156">
        <f t="shared" si="5"/>
        <v>3220.706466666667</v>
      </c>
      <c r="K9" s="158">
        <v>65095</v>
      </c>
      <c r="L9" s="159">
        <v>63897</v>
      </c>
      <c r="M9" s="159">
        <f>65196+60</f>
        <v>65256</v>
      </c>
      <c r="N9" s="159">
        <f>65595+60</f>
        <v>65655</v>
      </c>
      <c r="O9" s="159">
        <f>65895+60</f>
        <v>65955</v>
      </c>
      <c r="P9" s="160">
        <v>2.17</v>
      </c>
      <c r="Q9" s="161"/>
      <c r="S9" s="161">
        <v>200</v>
      </c>
      <c r="T9" s="161">
        <v>50</v>
      </c>
      <c r="U9" s="162"/>
    </row>
    <row r="10" spans="1:22" s="157" customFormat="1" x14ac:dyDescent="0.25">
      <c r="A10" s="153">
        <v>61900</v>
      </c>
      <c r="B10" s="154" t="s">
        <v>70</v>
      </c>
      <c r="C10" s="155">
        <v>1</v>
      </c>
      <c r="D10" s="156">
        <f t="shared" si="0"/>
        <v>13116.486666666666</v>
      </c>
      <c r="E10" s="156">
        <f t="shared" si="1"/>
        <v>7558.6533333333327</v>
      </c>
      <c r="F10" s="156">
        <f t="shared" si="2"/>
        <v>5706.0422222222223</v>
      </c>
      <c r="G10" s="156">
        <f t="shared" si="3"/>
        <v>4779.7366666666667</v>
      </c>
      <c r="H10" s="156">
        <f t="shared" si="4"/>
        <v>4223.9533333333329</v>
      </c>
      <c r="I10" s="156">
        <f t="shared" si="5"/>
        <v>3853.4311111111115</v>
      </c>
      <c r="K10" s="158">
        <v>66695</v>
      </c>
      <c r="L10" s="159">
        <v>63500</v>
      </c>
      <c r="M10" s="159">
        <f>65465+60</f>
        <v>65525</v>
      </c>
      <c r="N10" s="159">
        <f>66530+60</f>
        <v>66590</v>
      </c>
      <c r="O10" s="159">
        <f>67495+60</f>
        <v>67555</v>
      </c>
      <c r="P10" s="160">
        <v>3</v>
      </c>
      <c r="Q10" s="161"/>
      <c r="S10" s="161">
        <v>800</v>
      </c>
      <c r="T10" s="161">
        <v>100</v>
      </c>
      <c r="U10" s="162"/>
    </row>
    <row r="11" spans="1:22" x14ac:dyDescent="0.25">
      <c r="A11" s="72">
        <v>57900</v>
      </c>
      <c r="B11" s="73" t="s">
        <v>71</v>
      </c>
      <c r="C11" s="17">
        <v>1</v>
      </c>
      <c r="D11" s="16">
        <f>IF(C11&gt;=1,(K11-C11)*(1+P11*PRICING!$D$4/100)/PRICING!$D$4+Q11,"")</f>
        <v>12329.82</v>
      </c>
      <c r="E11" s="16">
        <f>IF(C11&gt;=1,(K11-C11)*(1+P11*PRICING!$E$4/100)/PRICING!$E$4+Q11,"")</f>
        <v>7105.32</v>
      </c>
      <c r="F11" s="16">
        <f>IF(C11&gt;=1,(K11-C11)*(1+$P11*PRICING!$F$4/100)/PRICING!$F$4+Q11, "")</f>
        <v>5363.8200000000006</v>
      </c>
      <c r="G11" s="16">
        <f>IF(C11&gt;=1, (K11-C11)*(1+$P11*PRICING!$G$4/100)/PRICING!$G$4+Q11,"")</f>
        <v>4493.07</v>
      </c>
      <c r="H11" s="16">
        <f>IF(C11&gt;=1, (K11-C11)*(1+$P11*PRICING!$H$4/100)/PRICING!$H$4+Q11, "")</f>
        <v>3970.62</v>
      </c>
      <c r="I11" s="16">
        <f>IF(C11&gt;=1, (K11-C11)*(1+$P11*PRICING!$I$4/100)/PRICING!$I$4+Q11, "")</f>
        <v>3622.32</v>
      </c>
      <c r="J11" s="74"/>
      <c r="K11" s="75">
        <v>62695</v>
      </c>
      <c r="L11" s="76">
        <v>59500</v>
      </c>
      <c r="M11" s="76">
        <f>61465+60</f>
        <v>61525</v>
      </c>
      <c r="N11" s="76">
        <f>62530+60</f>
        <v>62590</v>
      </c>
      <c r="O11" s="76">
        <f>63495+60</f>
        <v>63555</v>
      </c>
      <c r="P11" s="77">
        <v>3</v>
      </c>
      <c r="Q11" s="78"/>
      <c r="R11" s="74"/>
      <c r="S11" s="79">
        <v>300</v>
      </c>
      <c r="T11" s="79">
        <v>100</v>
      </c>
      <c r="U11" s="80"/>
      <c r="V11" s="80"/>
    </row>
    <row r="12" spans="1:22" s="157" customFormat="1" x14ac:dyDescent="0.25">
      <c r="A12" s="153">
        <v>68900</v>
      </c>
      <c r="B12" s="154" t="s">
        <v>72</v>
      </c>
      <c r="C12" s="155">
        <v>1</v>
      </c>
      <c r="D12" s="156">
        <f t="shared" si="0"/>
        <v>14223.709966666664</v>
      </c>
      <c r="E12" s="156">
        <f t="shared" si="1"/>
        <v>8019.6266333333333</v>
      </c>
      <c r="F12" s="156">
        <f t="shared" si="2"/>
        <v>5951.5988555555559</v>
      </c>
      <c r="G12" s="156">
        <f t="shared" si="3"/>
        <v>4917.5849666666663</v>
      </c>
      <c r="H12" s="156">
        <f t="shared" si="4"/>
        <v>4297.1766333333326</v>
      </c>
      <c r="I12" s="156">
        <f t="shared" si="5"/>
        <v>3883.5710777777776</v>
      </c>
      <c r="K12" s="158">
        <v>74450</v>
      </c>
      <c r="L12" s="159">
        <v>71350</v>
      </c>
      <c r="M12" s="159">
        <f>73284+60</f>
        <v>73344</v>
      </c>
      <c r="N12" s="159">
        <f>74318+60</f>
        <v>74378</v>
      </c>
      <c r="O12" s="159">
        <f>75250+60</f>
        <v>75310</v>
      </c>
      <c r="P12" s="160">
        <v>2.17</v>
      </c>
      <c r="Q12" s="161">
        <v>200</v>
      </c>
      <c r="S12" s="161">
        <v>300</v>
      </c>
      <c r="T12" s="161">
        <v>50</v>
      </c>
      <c r="U12" s="162"/>
    </row>
    <row r="13" spans="1:22" s="157" customFormat="1" x14ac:dyDescent="0.25">
      <c r="A13" s="153">
        <v>60900</v>
      </c>
      <c r="B13" s="154" t="s">
        <v>76</v>
      </c>
      <c r="C13" s="155">
        <v>1</v>
      </c>
      <c r="D13" s="156">
        <f t="shared" si="0"/>
        <v>12676.349999999999</v>
      </c>
      <c r="E13" s="156">
        <f t="shared" si="1"/>
        <v>7251.8499999999995</v>
      </c>
      <c r="F13" s="156">
        <f t="shared" si="2"/>
        <v>5443.6833333333334</v>
      </c>
      <c r="G13" s="156">
        <f t="shared" si="3"/>
        <v>4539.6000000000004</v>
      </c>
      <c r="H13" s="156">
        <f t="shared" si="4"/>
        <v>3997.15</v>
      </c>
      <c r="I13" s="156">
        <f t="shared" si="5"/>
        <v>3635.5166666666664</v>
      </c>
      <c r="K13" s="158">
        <v>65095</v>
      </c>
      <c r="L13" s="159">
        <v>62938</v>
      </c>
      <c r="M13" s="159">
        <f>64557+60</f>
        <v>64617</v>
      </c>
      <c r="N13" s="159">
        <f>65276+60</f>
        <v>65336</v>
      </c>
      <c r="O13" s="159">
        <f>65895+60</f>
        <v>65955</v>
      </c>
      <c r="P13" s="160">
        <v>2.5</v>
      </c>
      <c r="Q13" s="161">
        <v>200</v>
      </c>
      <c r="S13" s="161">
        <v>700</v>
      </c>
      <c r="T13" s="161">
        <v>100</v>
      </c>
      <c r="U13" s="162"/>
    </row>
    <row r="14" spans="1:22" s="157" customFormat="1" x14ac:dyDescent="0.25">
      <c r="A14" s="153">
        <v>67900</v>
      </c>
      <c r="B14" s="154" t="s">
        <v>78</v>
      </c>
      <c r="C14" s="155">
        <v>1</v>
      </c>
      <c r="D14" s="156">
        <f t="shared" si="0"/>
        <v>13320.641666666665</v>
      </c>
      <c r="E14" s="156">
        <f t="shared" si="1"/>
        <v>7529.0583333333334</v>
      </c>
      <c r="F14" s="156">
        <f t="shared" si="2"/>
        <v>5598.530555555556</v>
      </c>
      <c r="G14" s="156">
        <f t="shared" si="3"/>
        <v>4633.2666666666673</v>
      </c>
      <c r="H14" s="156">
        <f t="shared" si="4"/>
        <v>4054.1083333333331</v>
      </c>
      <c r="I14" s="156">
        <f t="shared" si="5"/>
        <v>3668.0027777777777</v>
      </c>
      <c r="K14" s="158">
        <v>69500</v>
      </c>
      <c r="L14" s="159">
        <v>69500</v>
      </c>
      <c r="M14" s="159">
        <f>70400+60</f>
        <v>70460</v>
      </c>
      <c r="N14" s="159">
        <f>70400+60</f>
        <v>70460</v>
      </c>
      <c r="O14" s="159">
        <f>70300+60</f>
        <v>70360</v>
      </c>
      <c r="P14" s="160">
        <v>2.5</v>
      </c>
      <c r="Q14" s="161"/>
      <c r="S14" s="161">
        <v>350</v>
      </c>
      <c r="T14" s="161">
        <v>50</v>
      </c>
      <c r="U14" s="162"/>
    </row>
    <row r="15" spans="1:22" x14ac:dyDescent="0.25">
      <c r="A15" s="72">
        <v>82900</v>
      </c>
      <c r="B15" s="73" t="s">
        <v>65</v>
      </c>
      <c r="C15" s="155">
        <v>1</v>
      </c>
      <c r="D15" s="16">
        <f>IF(C15&gt;=1,(K15-C15)*(1+P15*PRICING!$D$4/100)/PRICING!$D$4+Q15,"")</f>
        <v>16696.083333333332</v>
      </c>
      <c r="E15" s="16">
        <f>IF(C15&gt;=1,(K15-C15)*(1+P15*PRICING!$E$4/100)/PRICING!$E$4+Q15,"")</f>
        <v>9436.9166666666661</v>
      </c>
      <c r="F15" s="16">
        <f>IF(C15&gt;=1,(K15-C15)*(1+$P15*PRICING!$F$4/100)/PRICING!$F$4+Q15, "")</f>
        <v>7017.1944444444443</v>
      </c>
      <c r="G15" s="16">
        <f>IF(C15&gt;=1, (K15-C15)*(1+$P15*PRICING!$G$4/100)/PRICING!$G$4+Q15,"")</f>
        <v>5807.333333333333</v>
      </c>
      <c r="H15" s="16">
        <f>IF(C15&gt;=1, (K15-C15)*(1+$P15*PRICING!$H$4/100)/PRICING!$H$4+Q15, "")</f>
        <v>5081.416666666667</v>
      </c>
      <c r="I15" s="16">
        <f>IF(C15&gt;=1, (K15-C15)*(1+$P15*PRICING!$I$4/100)/PRICING!$I$4+Q15, "")</f>
        <v>4597.4722222222226</v>
      </c>
      <c r="J15" s="74"/>
      <c r="K15" s="75">
        <v>87111</v>
      </c>
      <c r="L15" s="76">
        <v>84668</v>
      </c>
      <c r="M15" s="76">
        <f>86382+60</f>
        <v>86442</v>
      </c>
      <c r="N15" s="76">
        <f>87196+60</f>
        <v>87256</v>
      </c>
      <c r="O15" s="76">
        <f>87911+60</f>
        <v>87971</v>
      </c>
      <c r="P15" s="77">
        <v>2.5</v>
      </c>
      <c r="Q15" s="78"/>
      <c r="R15" s="74"/>
      <c r="S15" s="79">
        <v>400</v>
      </c>
      <c r="T15" s="79">
        <v>100</v>
      </c>
      <c r="U15" s="80"/>
      <c r="V15" s="80"/>
    </row>
    <row r="16" spans="1:22" s="157" customFormat="1" x14ac:dyDescent="0.25">
      <c r="A16" s="223"/>
      <c r="C16" s="224"/>
      <c r="D16" s="225"/>
      <c r="E16" s="225"/>
      <c r="F16" s="225"/>
      <c r="G16" s="225"/>
      <c r="H16" s="225"/>
      <c r="I16" s="225"/>
      <c r="K16" s="223"/>
      <c r="L16" s="226"/>
      <c r="M16" s="226"/>
      <c r="N16" s="226"/>
      <c r="O16" s="226"/>
      <c r="P16" s="160"/>
      <c r="Q16" s="161"/>
      <c r="S16" s="161"/>
      <c r="T16" s="161"/>
      <c r="U16" s="162"/>
    </row>
    <row r="17" spans="1:21" x14ac:dyDescent="0.25">
      <c r="A17" s="84"/>
      <c r="B17" s="74"/>
      <c r="C17" s="45"/>
      <c r="D17" s="46"/>
      <c r="E17" s="46"/>
      <c r="F17" s="46"/>
      <c r="G17" s="46"/>
      <c r="H17" s="46"/>
      <c r="I17" s="46"/>
      <c r="J17" s="74"/>
      <c r="K17" s="85"/>
      <c r="L17" s="86"/>
      <c r="M17" s="86"/>
      <c r="N17" s="86"/>
      <c r="O17" s="86"/>
      <c r="P17" s="77"/>
      <c r="Q17" s="78"/>
      <c r="R17" s="74"/>
      <c r="S17" s="79"/>
      <c r="T17" s="79"/>
      <c r="U17" s="80"/>
    </row>
    <row r="18" spans="1:21" s="52" customFormat="1" x14ac:dyDescent="0.25">
      <c r="A18" s="63" t="s">
        <v>0</v>
      </c>
      <c r="B18" s="62" t="s">
        <v>47</v>
      </c>
      <c r="C18" s="87" t="s">
        <v>80</v>
      </c>
      <c r="D18" s="63">
        <v>6</v>
      </c>
      <c r="E18" s="51">
        <v>12</v>
      </c>
      <c r="F18" s="51">
        <v>18</v>
      </c>
      <c r="G18" s="51">
        <v>24</v>
      </c>
      <c r="H18" s="51">
        <v>30</v>
      </c>
      <c r="I18" s="51">
        <v>36</v>
      </c>
      <c r="K18" s="51" t="s">
        <v>2</v>
      </c>
      <c r="L18" s="51" t="s">
        <v>1</v>
      </c>
      <c r="M18" s="51" t="s">
        <v>3</v>
      </c>
      <c r="N18" s="51" t="s">
        <v>4</v>
      </c>
      <c r="O18" s="51" t="s">
        <v>5</v>
      </c>
      <c r="P18" s="253" t="s">
        <v>6</v>
      </c>
      <c r="Q18" s="254"/>
      <c r="R18" s="53"/>
      <c r="S18" s="255" t="s">
        <v>7</v>
      </c>
      <c r="T18" s="256"/>
      <c r="U18" s="58" t="s">
        <v>152</v>
      </c>
    </row>
    <row r="19" spans="1:21" ht="15" customHeight="1" x14ac:dyDescent="0.25">
      <c r="A19" s="280" t="s">
        <v>11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71"/>
    </row>
    <row r="20" spans="1:21" s="90" customFormat="1" ht="13.5" customHeight="1" x14ac:dyDescent="0.25">
      <c r="A20" s="88">
        <v>55900</v>
      </c>
      <c r="B20" s="89" t="s">
        <v>17</v>
      </c>
      <c r="C20" s="18">
        <v>1</v>
      </c>
      <c r="D20" s="19">
        <f t="shared" ref="D20:D35" si="6">IF(C20&gt;=1,(K20-C20)*(1+P20*$D$2/100)/$D$2+Q20,"")</f>
        <v>11940.419999999998</v>
      </c>
      <c r="E20" s="19">
        <f t="shared" ref="E20:E35" si="7">IF(C20&gt;=1,(K20-C20)*(1+P20*$E$2/100)/$E$2+Q20,"")</f>
        <v>6880.9199999999992</v>
      </c>
      <c r="F20" s="19">
        <f t="shared" ref="F20:F35" si="8">IF(C20&gt;=1,(K20-C20)*(1+$P20*$F$2/100)/$F$2+Q20, "")</f>
        <v>5194.42</v>
      </c>
      <c r="G20" s="19">
        <f t="shared" ref="G20:G35" si="9">IF(C20&gt;=1, (K20-C20)*(1+$P20*$G$2/100)/$G$2+Q20,"")</f>
        <v>4351.17</v>
      </c>
      <c r="H20" s="19">
        <f t="shared" ref="H20:H28" si="10">IF(C20&gt;=1, (K20-C20)*(1+$P20*$H$2/100)/$H$2+Q20, "")</f>
        <v>3845.22</v>
      </c>
      <c r="I20" s="19">
        <f t="shared" ref="I20:I28" si="11">IF(C20&gt;=1, (K20-C20)*(1+$P20*$I$2/100)/$I$2+Q20, "")</f>
        <v>3507.92</v>
      </c>
      <c r="K20" s="163">
        <v>60715</v>
      </c>
      <c r="L20" s="163">
        <v>58620</v>
      </c>
      <c r="M20" s="163">
        <f>60219+60</f>
        <v>60279</v>
      </c>
      <c r="N20" s="163">
        <f>60918+60</f>
        <v>60978</v>
      </c>
      <c r="O20" s="163">
        <f>61515+60</f>
        <v>61575</v>
      </c>
      <c r="P20" s="164">
        <v>3</v>
      </c>
      <c r="Q20" s="52"/>
      <c r="S20" s="52">
        <v>200</v>
      </c>
      <c r="T20" s="52">
        <v>100</v>
      </c>
      <c r="U20" s="94"/>
    </row>
    <row r="21" spans="1:21" s="90" customFormat="1" ht="13.5" customHeight="1" x14ac:dyDescent="0.25">
      <c r="A21" s="88">
        <v>97000</v>
      </c>
      <c r="B21" s="89" t="s">
        <v>94</v>
      </c>
      <c r="C21" s="18">
        <v>1</v>
      </c>
      <c r="D21" s="19">
        <f>IF(C21&gt;=1,(K21-C21)*(1+P21*$D$2/100)/$D$2+Q21,"")</f>
        <v>20000.991666666665</v>
      </c>
      <c r="E21" s="19">
        <f>IF(C21&gt;=1,(K21-C21)*(1+P21*$E$2/100)/$E$2+Q21,"")</f>
        <v>11304.908333333333</v>
      </c>
      <c r="F21" s="19">
        <f>IF(C21&gt;=1,(K21-C21)*(1+$P21*$F$2/100)/$F$2+Q21, "")</f>
        <v>8406.2138888888894</v>
      </c>
      <c r="G21" s="19">
        <f>IF(C21&gt;=1, (K21-C21)*(1+$P21*$G$2/100)/$G$2+Q21,"")</f>
        <v>6956.8666666666677</v>
      </c>
      <c r="H21" s="19">
        <f>IF(C21&gt;=1, (K21-C21)*(1+$P21*$H$2/100)/$H$2+Q21, "")</f>
        <v>6087.2583333333332</v>
      </c>
      <c r="I21" s="19">
        <f>IF(C21&gt;=1, (K21-C21)*(1+$P21*$I$2/100)/$I$2+Q21, "")</f>
        <v>5507.5194444444442</v>
      </c>
      <c r="K21" s="163">
        <v>104354</v>
      </c>
      <c r="L21" s="163">
        <v>100489</v>
      </c>
      <c r="M21" s="163">
        <v>102737</v>
      </c>
      <c r="N21" s="163">
        <v>104025</v>
      </c>
      <c r="O21" s="163">
        <v>105214</v>
      </c>
      <c r="P21" s="164">
        <v>2.5</v>
      </c>
      <c r="Q21" s="52"/>
      <c r="S21" s="52">
        <v>200</v>
      </c>
      <c r="T21" s="52">
        <v>100</v>
      </c>
      <c r="U21" s="94"/>
    </row>
    <row r="22" spans="1:21" s="90" customFormat="1" x14ac:dyDescent="0.25">
      <c r="A22" s="88">
        <v>83900</v>
      </c>
      <c r="B22" s="89" t="s">
        <v>13</v>
      </c>
      <c r="C22" s="18">
        <v>1</v>
      </c>
      <c r="D22" s="19">
        <f t="shared" si="6"/>
        <v>17352.349999999999</v>
      </c>
      <c r="E22" s="19">
        <f t="shared" si="7"/>
        <v>9807.85</v>
      </c>
      <c r="F22" s="19">
        <f t="shared" si="8"/>
        <v>7293.0166666666664</v>
      </c>
      <c r="G22" s="19">
        <f t="shared" si="9"/>
        <v>6035.5999999999995</v>
      </c>
      <c r="H22" s="19">
        <f t="shared" si="10"/>
        <v>5281.15</v>
      </c>
      <c r="I22" s="19">
        <f t="shared" si="11"/>
        <v>4778.1833333333334</v>
      </c>
      <c r="K22" s="165">
        <v>90535</v>
      </c>
      <c r="L22" s="163">
        <v>86440</v>
      </c>
      <c r="M22" s="163">
        <f>87805+960</f>
        <v>88765</v>
      </c>
      <c r="N22" s="163">
        <f>89170+960</f>
        <v>90130</v>
      </c>
      <c r="O22" s="163">
        <f>90535+860</f>
        <v>91395</v>
      </c>
      <c r="P22" s="164">
        <v>2.5</v>
      </c>
      <c r="Q22" s="52"/>
      <c r="S22" s="52">
        <v>450</v>
      </c>
      <c r="T22" s="52">
        <v>100</v>
      </c>
      <c r="U22" s="94"/>
    </row>
    <row r="23" spans="1:21" s="90" customFormat="1" x14ac:dyDescent="0.25">
      <c r="A23" s="88">
        <v>79900</v>
      </c>
      <c r="B23" s="89" t="s">
        <v>12</v>
      </c>
      <c r="C23" s="18">
        <v>1</v>
      </c>
      <c r="D23" s="19">
        <f t="shared" si="6"/>
        <v>16546.391666666666</v>
      </c>
      <c r="E23" s="19">
        <f t="shared" si="7"/>
        <v>9352.3083333333325</v>
      </c>
      <c r="F23" s="19">
        <f t="shared" si="8"/>
        <v>6954.280555555556</v>
      </c>
      <c r="G23" s="19">
        <f t="shared" si="9"/>
        <v>5755.2666666666664</v>
      </c>
      <c r="H23" s="19">
        <f t="shared" si="10"/>
        <v>5035.8583333333336</v>
      </c>
      <c r="I23" s="19">
        <f t="shared" si="11"/>
        <v>4556.2527777777777</v>
      </c>
      <c r="K23" s="163">
        <v>86330</v>
      </c>
      <c r="L23" s="163">
        <v>82235</v>
      </c>
      <c r="M23" s="163">
        <f>83600+960</f>
        <v>84560</v>
      </c>
      <c r="N23" s="163">
        <f>84965+960</f>
        <v>85925</v>
      </c>
      <c r="O23" s="163">
        <f>86330+860</f>
        <v>87190</v>
      </c>
      <c r="P23" s="164">
        <v>2.5</v>
      </c>
      <c r="Q23" s="52"/>
      <c r="S23" s="52">
        <v>450</v>
      </c>
      <c r="T23" s="52">
        <v>100</v>
      </c>
      <c r="U23" s="94"/>
    </row>
    <row r="24" spans="1:21" s="90" customFormat="1" x14ac:dyDescent="0.25">
      <c r="A24" s="88">
        <v>59000</v>
      </c>
      <c r="B24" s="89" t="s">
        <v>14</v>
      </c>
      <c r="C24" s="18">
        <v>1</v>
      </c>
      <c r="D24" s="19">
        <f t="shared" si="6"/>
        <v>12572.703333333333</v>
      </c>
      <c r="E24" s="19">
        <f t="shared" si="7"/>
        <v>7245.286666666666</v>
      </c>
      <c r="F24" s="19">
        <f t="shared" si="8"/>
        <v>5469.4811111111112</v>
      </c>
      <c r="G24" s="19">
        <f t="shared" si="9"/>
        <v>4581.5783333333338</v>
      </c>
      <c r="H24" s="19">
        <f t="shared" si="10"/>
        <v>4048.8366666666666</v>
      </c>
      <c r="I24" s="19">
        <f t="shared" si="11"/>
        <v>3693.6755555555555</v>
      </c>
      <c r="K24" s="163">
        <v>63930</v>
      </c>
      <c r="L24" s="163">
        <v>63635</v>
      </c>
      <c r="M24" s="163">
        <f>64633+60</f>
        <v>64693</v>
      </c>
      <c r="N24" s="163">
        <f>64731+60</f>
        <v>64791</v>
      </c>
      <c r="O24" s="163">
        <f>64730+60</f>
        <v>64790</v>
      </c>
      <c r="P24" s="164">
        <v>3</v>
      </c>
      <c r="Q24" s="52"/>
      <c r="S24" s="52">
        <v>350</v>
      </c>
      <c r="T24" s="52">
        <v>50</v>
      </c>
      <c r="U24" s="94"/>
    </row>
    <row r="25" spans="1:21" s="90" customFormat="1" x14ac:dyDescent="0.25">
      <c r="A25" s="88">
        <v>49900</v>
      </c>
      <c r="B25" s="89" t="s">
        <v>15</v>
      </c>
      <c r="C25" s="18">
        <v>1</v>
      </c>
      <c r="D25" s="19">
        <f t="shared" si="6"/>
        <v>10783.036666666665</v>
      </c>
      <c r="E25" s="19">
        <f t="shared" si="7"/>
        <v>6213.953333333332</v>
      </c>
      <c r="F25" s="19">
        <f t="shared" si="8"/>
        <v>4690.9255555555555</v>
      </c>
      <c r="G25" s="19">
        <f t="shared" si="9"/>
        <v>3929.4116666666669</v>
      </c>
      <c r="H25" s="19">
        <f t="shared" si="10"/>
        <v>3472.5033333333331</v>
      </c>
      <c r="I25" s="19">
        <f t="shared" si="11"/>
        <v>3167.8977777777782</v>
      </c>
      <c r="K25" s="163">
        <v>54830</v>
      </c>
      <c r="L25" s="163">
        <v>54535</v>
      </c>
      <c r="M25" s="163">
        <f>55534+60</f>
        <v>55594</v>
      </c>
      <c r="N25" s="163">
        <f>55633+60</f>
        <v>55693</v>
      </c>
      <c r="O25" s="163">
        <f>55630+60</f>
        <v>55690</v>
      </c>
      <c r="P25" s="164">
        <v>3</v>
      </c>
      <c r="Q25" s="52"/>
      <c r="S25" s="52">
        <v>500</v>
      </c>
      <c r="T25" s="52">
        <v>50</v>
      </c>
      <c r="U25" s="94"/>
    </row>
    <row r="26" spans="1:21" s="90" customFormat="1" x14ac:dyDescent="0.25">
      <c r="A26" s="88">
        <v>61900</v>
      </c>
      <c r="B26" s="89" t="s">
        <v>87</v>
      </c>
      <c r="C26" s="18">
        <v>1</v>
      </c>
      <c r="D26" s="19">
        <f>IF(C26&gt;=1,(K26-C26)*(1+P26*$D$2/100)/$D$2+Q26,"")</f>
        <v>12784.965366666665</v>
      </c>
      <c r="E26" s="19">
        <f>IF(C26&gt;=1,(K26-C26)*(1+P26*$E$2/100)/$E$2+Q26,"")</f>
        <v>7217.3820333333324</v>
      </c>
      <c r="F26" s="19">
        <f>IF(C26&gt;=1,(K26-C26)*(1+$P26*$F$2/100)/$F$2+Q26, "")</f>
        <v>5361.520922222222</v>
      </c>
      <c r="G26" s="19">
        <f>IF(C26&gt;=1, (K26-C26)*(1+$P26*$G$2/100)/$G$2+Q26,"")</f>
        <v>4433.5903666666663</v>
      </c>
      <c r="H26" s="19">
        <f>IF(C26&gt;=1, (K26-C26)*(1+$P26*$H$2/100)/$H$2+Q26, "")</f>
        <v>3876.8320333333327</v>
      </c>
      <c r="I26" s="19">
        <f>IF(C26&gt;=1, (K26-C26)*(1+$P26*$I$2/100)/$I$2+Q26, "")</f>
        <v>3505.6598111111111</v>
      </c>
      <c r="K26" s="163">
        <v>66812</v>
      </c>
      <c r="L26" s="163">
        <v>65539</v>
      </c>
      <c r="M26" s="163">
        <v>66923</v>
      </c>
      <c r="N26" s="163">
        <v>67347</v>
      </c>
      <c r="O26" s="163">
        <v>67672</v>
      </c>
      <c r="P26" s="164">
        <v>2.17</v>
      </c>
      <c r="Q26" s="52">
        <v>200</v>
      </c>
      <c r="S26" s="52">
        <v>200</v>
      </c>
      <c r="T26" s="52">
        <v>100</v>
      </c>
      <c r="U26" s="94"/>
    </row>
    <row r="27" spans="1:21" s="90" customFormat="1" x14ac:dyDescent="0.25">
      <c r="A27" s="88">
        <v>130000</v>
      </c>
      <c r="B27" s="89" t="s">
        <v>18</v>
      </c>
      <c r="C27" s="18">
        <v>1</v>
      </c>
      <c r="D27" s="19">
        <f t="shared" si="6"/>
        <v>26399.211599999995</v>
      </c>
      <c r="E27" s="19">
        <f t="shared" si="7"/>
        <v>14720.211600000001</v>
      </c>
      <c r="F27" s="19">
        <f t="shared" si="8"/>
        <v>10827.211600000001</v>
      </c>
      <c r="G27" s="19">
        <f t="shared" si="9"/>
        <v>8880.7116000000005</v>
      </c>
      <c r="H27" s="19">
        <f t="shared" si="10"/>
        <v>7712.8115999999991</v>
      </c>
      <c r="I27" s="19">
        <f t="shared" si="11"/>
        <v>6934.2116000000005</v>
      </c>
      <c r="K27" s="163">
        <v>140149</v>
      </c>
      <c r="L27" s="163">
        <v>135010</v>
      </c>
      <c r="M27" s="163">
        <f>137623+60</f>
        <v>137683</v>
      </c>
      <c r="N27" s="163">
        <f>139336+60</f>
        <v>139396</v>
      </c>
      <c r="O27" s="163">
        <f>140949+60</f>
        <v>141009</v>
      </c>
      <c r="P27" s="164">
        <v>2.17</v>
      </c>
      <c r="Q27" s="52"/>
      <c r="S27" s="52">
        <v>350</v>
      </c>
      <c r="T27" s="52">
        <v>100</v>
      </c>
      <c r="U27" s="94"/>
    </row>
    <row r="28" spans="1:21" s="90" customFormat="1" x14ac:dyDescent="0.25">
      <c r="A28" s="88">
        <v>62400</v>
      </c>
      <c r="B28" s="89" t="s">
        <v>16</v>
      </c>
      <c r="C28" s="18">
        <v>1</v>
      </c>
      <c r="D28" s="19">
        <f t="shared" si="6"/>
        <v>13337.25643333333</v>
      </c>
      <c r="E28" s="19">
        <f t="shared" si="7"/>
        <v>7525.3397666666669</v>
      </c>
      <c r="F28" s="19">
        <f t="shared" si="8"/>
        <v>5588.0342111111113</v>
      </c>
      <c r="G28" s="19">
        <f t="shared" si="9"/>
        <v>4619.381433333333</v>
      </c>
      <c r="H28" s="19">
        <f t="shared" si="10"/>
        <v>4038.1897666666659</v>
      </c>
      <c r="I28" s="19">
        <f t="shared" si="11"/>
        <v>3650.7286555555561</v>
      </c>
      <c r="K28" s="163">
        <v>69744</v>
      </c>
      <c r="L28" s="163">
        <v>67062</v>
      </c>
      <c r="M28" s="163">
        <f>68856+60</f>
        <v>68916</v>
      </c>
      <c r="N28" s="163">
        <f>69750+60</f>
        <v>69810</v>
      </c>
      <c r="O28" s="163">
        <f>70544+60</f>
        <v>70604</v>
      </c>
      <c r="P28" s="164">
        <v>2.17</v>
      </c>
      <c r="Q28" s="52">
        <v>200</v>
      </c>
      <c r="S28" s="52">
        <v>400</v>
      </c>
      <c r="T28" s="52">
        <v>100</v>
      </c>
      <c r="U28" s="94"/>
    </row>
    <row r="29" spans="1:21" s="90" customFormat="1" x14ac:dyDescent="0.25">
      <c r="A29" s="88">
        <v>115000</v>
      </c>
      <c r="B29" s="89" t="s">
        <v>19</v>
      </c>
      <c r="C29" s="18">
        <v>1</v>
      </c>
      <c r="D29" s="19">
        <f t="shared" si="6"/>
        <v>22926.783333333329</v>
      </c>
      <c r="E29" s="19">
        <f t="shared" si="7"/>
        <v>12958.616666666667</v>
      </c>
      <c r="F29" s="19">
        <f t="shared" si="8"/>
        <v>9635.8944444444442</v>
      </c>
      <c r="G29" s="19">
        <f t="shared" si="9"/>
        <v>7974.5333333333338</v>
      </c>
      <c r="H29" s="19"/>
      <c r="I29" s="19"/>
      <c r="K29" s="163">
        <v>119619</v>
      </c>
      <c r="L29" s="163">
        <v>119619</v>
      </c>
      <c r="M29" s="163">
        <f>120519+60</f>
        <v>120579</v>
      </c>
      <c r="N29" s="163">
        <f>120519+60</f>
        <v>120579</v>
      </c>
      <c r="O29" s="163">
        <f>120419+60</f>
        <v>120479</v>
      </c>
      <c r="P29" s="164">
        <v>2.5</v>
      </c>
      <c r="Q29" s="52"/>
      <c r="S29" s="52">
        <v>200</v>
      </c>
      <c r="T29" s="52">
        <v>100</v>
      </c>
      <c r="U29" s="94"/>
    </row>
    <row r="30" spans="1:21" s="90" customFormat="1" x14ac:dyDescent="0.25">
      <c r="A30" s="88">
        <v>103000</v>
      </c>
      <c r="B30" s="89" t="s">
        <v>43</v>
      </c>
      <c r="C30" s="18">
        <v>1</v>
      </c>
      <c r="D30" s="19">
        <f t="shared" si="6"/>
        <v>21364.508333333331</v>
      </c>
      <c r="E30" s="19">
        <f t="shared" si="7"/>
        <v>12075.591666666667</v>
      </c>
      <c r="F30" s="19">
        <f t="shared" si="8"/>
        <v>8979.2861111111106</v>
      </c>
      <c r="G30" s="19">
        <f t="shared" si="9"/>
        <v>7431.1333333333341</v>
      </c>
      <c r="H30" s="19"/>
      <c r="I30" s="19"/>
      <c r="K30" s="163">
        <v>111468</v>
      </c>
      <c r="L30" s="163">
        <v>108401</v>
      </c>
      <c r="M30" s="163">
        <f>110323+60</f>
        <v>110383</v>
      </c>
      <c r="N30" s="163">
        <f>111345+60</f>
        <v>111405</v>
      </c>
      <c r="O30" s="163">
        <f>112268+60</f>
        <v>112328</v>
      </c>
      <c r="P30" s="164">
        <v>2.5</v>
      </c>
      <c r="Q30" s="52"/>
      <c r="S30" s="52">
        <v>200</v>
      </c>
      <c r="T30" s="52">
        <v>100</v>
      </c>
      <c r="U30" s="94"/>
    </row>
    <row r="31" spans="1:21" s="90" customFormat="1" x14ac:dyDescent="0.25">
      <c r="A31" s="88">
        <v>77000</v>
      </c>
      <c r="B31" s="89" t="s">
        <v>110</v>
      </c>
      <c r="C31" s="18">
        <v>1</v>
      </c>
      <c r="D31" s="19">
        <f>IF(C31&gt;=1,(K31-C31)*(1+P31*$D$2/100)/$D$2+Q31,"")</f>
        <v>15960.275</v>
      </c>
      <c r="E31" s="19">
        <f>IF(C31&gt;=1,(K31-C31)*(1+P31*$E$2/100)/$E$2+Q31,"")</f>
        <v>9021.0249999999996</v>
      </c>
      <c r="F31" s="19">
        <f>IF(C31&gt;=1,(K31-C31)*(1+$P31*$F$2/100)/$F$2+Q31, "")</f>
        <v>6707.9416666666666</v>
      </c>
      <c r="G31" s="19">
        <f>IF(C31&gt;=1, (K31-C31)*(1+$P31*$G$2/100)/$G$2+Q31,"")</f>
        <v>5551.4000000000005</v>
      </c>
      <c r="H31" s="19">
        <f>IF(C31&gt;=1, (K31-C31)*(1+$P31*$H$2/100)/$H$2+Q31, "")</f>
        <v>4857.4750000000004</v>
      </c>
      <c r="I31" s="19">
        <f>IF(C31&gt;=1, (K31-C31)*(1+$P31*$I$2/100)/$I$2+Q31, "")</f>
        <v>4394.8583333333336</v>
      </c>
      <c r="K31" s="163">
        <v>83272</v>
      </c>
      <c r="L31" s="163">
        <v>80159</v>
      </c>
      <c r="M31" s="163">
        <f>81196+960</f>
        <v>82156</v>
      </c>
      <c r="N31" s="163">
        <f>82234+960</f>
        <v>83194</v>
      </c>
      <c r="O31" s="163">
        <f>83272+860</f>
        <v>84132</v>
      </c>
      <c r="P31" s="164">
        <v>2.5</v>
      </c>
      <c r="Q31" s="52"/>
      <c r="S31" s="52">
        <v>350</v>
      </c>
      <c r="T31" s="52">
        <v>100</v>
      </c>
      <c r="U31" s="94"/>
    </row>
    <row r="32" spans="1:21" s="90" customFormat="1" x14ac:dyDescent="0.25">
      <c r="A32" s="88">
        <v>69500</v>
      </c>
      <c r="B32" s="89" t="s">
        <v>48</v>
      </c>
      <c r="C32" s="18">
        <v>1</v>
      </c>
      <c r="D32" s="19">
        <f t="shared" si="6"/>
        <v>14672.275</v>
      </c>
      <c r="E32" s="19">
        <f t="shared" si="7"/>
        <v>8293.0249999999996</v>
      </c>
      <c r="F32" s="19">
        <f t="shared" si="8"/>
        <v>6166.6083333333336</v>
      </c>
      <c r="G32" s="19">
        <f t="shared" si="9"/>
        <v>5103.4000000000005</v>
      </c>
      <c r="H32" s="19">
        <f>IF(C32&gt;=1, (K32-C32)*(1+$P32*$H$2/100)/$H$2+Q32, "")</f>
        <v>4465.4750000000004</v>
      </c>
      <c r="I32" s="19">
        <f>IF(C32&gt;=1, (K32-C32)*(1+$P32*$I$2/100)/$I$2+Q32, "")</f>
        <v>4040.1916666666666</v>
      </c>
      <c r="K32" s="163">
        <v>76552</v>
      </c>
      <c r="L32" s="163">
        <v>73792</v>
      </c>
      <c r="M32" s="163">
        <v>75672</v>
      </c>
      <c r="N32" s="163">
        <v>76592</v>
      </c>
      <c r="O32" s="163">
        <v>77412</v>
      </c>
      <c r="P32" s="164">
        <v>2.5</v>
      </c>
      <c r="Q32" s="52"/>
      <c r="S32" s="52">
        <v>350</v>
      </c>
      <c r="T32" s="52">
        <v>50</v>
      </c>
      <c r="U32" s="94"/>
    </row>
    <row r="33" spans="1:22" s="90" customFormat="1" x14ac:dyDescent="0.25">
      <c r="A33" s="88">
        <v>94900</v>
      </c>
      <c r="B33" s="89" t="s">
        <v>20</v>
      </c>
      <c r="C33" s="18">
        <v>1</v>
      </c>
      <c r="D33" s="19">
        <f t="shared" si="6"/>
        <v>19977.203333333331</v>
      </c>
      <c r="E33" s="19">
        <f t="shared" si="7"/>
        <v>11512.286666666665</v>
      </c>
      <c r="F33" s="19">
        <f t="shared" si="8"/>
        <v>8690.6477777777782</v>
      </c>
      <c r="G33" s="19">
        <f t="shared" si="9"/>
        <v>7279.8283333333338</v>
      </c>
      <c r="H33" s="19">
        <f>IF(C33&gt;=1, (K33-C33)*(1+$P33*$H$2/100)/$H$2+Q33, "")</f>
        <v>6433.3366666666661</v>
      </c>
      <c r="I33" s="19">
        <f>IF(C33&gt;=1, (K33-C33)*(1+$P33*$I$2/100)/$I$2+Q33, "")</f>
        <v>5869.0088888888895</v>
      </c>
      <c r="K33" s="163">
        <v>101580</v>
      </c>
      <c r="L33" s="163">
        <v>98733</v>
      </c>
      <c r="M33" s="163">
        <f>100582+60</f>
        <v>100642</v>
      </c>
      <c r="N33" s="163">
        <f>101531+60</f>
        <v>101591</v>
      </c>
      <c r="O33" s="163">
        <f>102380+60</f>
        <v>102440</v>
      </c>
      <c r="P33" s="164">
        <v>3</v>
      </c>
      <c r="Q33" s="52"/>
      <c r="S33" s="52">
        <v>300</v>
      </c>
      <c r="T33" s="52">
        <v>50</v>
      </c>
      <c r="U33" s="94"/>
    </row>
    <row r="34" spans="1:22" s="90" customFormat="1" x14ac:dyDescent="0.25">
      <c r="A34" s="88">
        <v>98000</v>
      </c>
      <c r="B34" s="89" t="s">
        <v>98</v>
      </c>
      <c r="C34" s="18">
        <v>1</v>
      </c>
      <c r="D34" s="19">
        <f>IF(C34&gt;=1,(K34-C34)*(1+P34*$D$2/100)/$D$2+Q34,"")</f>
        <v>19995.241666666665</v>
      </c>
      <c r="E34" s="19">
        <f>IF(C34&gt;=1,(K34-C34)*(1+P34*$E$2/100)/$E$2+Q34,"")</f>
        <v>11301.658333333333</v>
      </c>
      <c r="F34" s="19">
        <f>IF(C34&gt;=1,(K34-C34)*(1+$P34*$F$2/100)/$F$2+Q34, "")</f>
        <v>8403.7972222222234</v>
      </c>
      <c r="G34" s="19">
        <f>IF(C34&gt;=1, (K34-C34)*(1+$P34*$G$2/100)/$G$2+Q34,"")</f>
        <v>6954.8666666666677</v>
      </c>
      <c r="H34" s="19">
        <f>IF(C34&gt;=1, (K34-C34)*(1+$P34*$H$2/100)/$H$2+Q34, "")</f>
        <v>6085.5083333333332</v>
      </c>
      <c r="I34" s="19">
        <f>IF(C34&gt;=1, (K34-C34)*(1+$P34*$I$2/100)/$I$2+Q34, "")</f>
        <v>5505.9361111111102</v>
      </c>
      <c r="K34" s="163">
        <v>104324</v>
      </c>
      <c r="L34" s="163">
        <v>100586</v>
      </c>
      <c r="M34" s="163">
        <v>102792</v>
      </c>
      <c r="N34" s="163">
        <v>104038</v>
      </c>
      <c r="O34" s="163">
        <v>105184</v>
      </c>
      <c r="P34" s="164">
        <v>2.5</v>
      </c>
      <c r="Q34" s="52"/>
      <c r="S34" s="52">
        <v>200</v>
      </c>
      <c r="T34" s="52">
        <v>100</v>
      </c>
      <c r="U34" s="94"/>
    </row>
    <row r="35" spans="1:22" s="90" customFormat="1" x14ac:dyDescent="0.25">
      <c r="A35" s="88">
        <v>103900</v>
      </c>
      <c r="B35" s="89" t="s">
        <v>21</v>
      </c>
      <c r="C35" s="18">
        <v>1</v>
      </c>
      <c r="D35" s="19">
        <f t="shared" si="6"/>
        <v>21747.203333333331</v>
      </c>
      <c r="E35" s="19">
        <f t="shared" si="7"/>
        <v>12532.286666666665</v>
      </c>
      <c r="F35" s="19">
        <f t="shared" si="8"/>
        <v>9460.6477777777782</v>
      </c>
      <c r="G35" s="19">
        <f t="shared" si="9"/>
        <v>7924.8283333333338</v>
      </c>
      <c r="H35" s="19">
        <f>IF(C35&gt;=1, (K35-C35)*(1+$P35*$H$2/100)/$H$2+Q35, "")</f>
        <v>7003.3366666666661</v>
      </c>
      <c r="I35" s="19">
        <f>IF(C35&gt;=1, (K35-C35)*(1+$P35*$I$2/100)/$I$2+Q35, "")</f>
        <v>6389.0088888888895</v>
      </c>
      <c r="K35" s="163">
        <v>110580</v>
      </c>
      <c r="L35" s="163">
        <v>107733</v>
      </c>
      <c r="M35" s="163">
        <f>109582+60</f>
        <v>109642</v>
      </c>
      <c r="N35" s="163">
        <f>110531+60</f>
        <v>110591</v>
      </c>
      <c r="O35" s="163">
        <f>111380+60</f>
        <v>111440</v>
      </c>
      <c r="P35" s="164">
        <v>3</v>
      </c>
      <c r="Q35" s="52"/>
      <c r="S35" s="52">
        <v>300</v>
      </c>
      <c r="T35" s="52">
        <v>50</v>
      </c>
      <c r="U35" s="94"/>
    </row>
    <row r="36" spans="1:22" x14ac:dyDescent="0.25">
      <c r="A36" s="96"/>
      <c r="B36" s="90"/>
      <c r="C36" s="47"/>
      <c r="D36" s="48"/>
      <c r="E36" s="48"/>
      <c r="F36" s="48"/>
      <c r="G36" s="48"/>
      <c r="H36" s="48"/>
      <c r="I36" s="48"/>
      <c r="J36" s="90"/>
      <c r="K36" s="97"/>
      <c r="L36" s="97"/>
      <c r="M36" s="97"/>
      <c r="N36" s="97"/>
      <c r="O36" s="97"/>
      <c r="P36" s="92"/>
      <c r="Q36" s="93"/>
      <c r="R36" s="90"/>
      <c r="S36" s="52"/>
      <c r="T36" s="52"/>
      <c r="U36" s="94"/>
    </row>
    <row r="37" spans="1:22" s="55" customFormat="1" x14ac:dyDescent="0.25">
      <c r="A37" s="61" t="s">
        <v>0</v>
      </c>
      <c r="B37" s="60" t="s">
        <v>47</v>
      </c>
      <c r="C37" s="98" t="s">
        <v>80</v>
      </c>
      <c r="D37" s="61">
        <v>6</v>
      </c>
      <c r="E37" s="54">
        <v>12</v>
      </c>
      <c r="F37" s="54">
        <v>18</v>
      </c>
      <c r="G37" s="54">
        <v>24</v>
      </c>
      <c r="H37" s="54">
        <v>30</v>
      </c>
      <c r="I37" s="54">
        <v>36</v>
      </c>
      <c r="K37" s="54" t="s">
        <v>2</v>
      </c>
      <c r="L37" s="54" t="s">
        <v>1</v>
      </c>
      <c r="M37" s="54" t="s">
        <v>3</v>
      </c>
      <c r="N37" s="54" t="s">
        <v>4</v>
      </c>
      <c r="O37" s="54" t="s">
        <v>5</v>
      </c>
      <c r="P37" s="257" t="s">
        <v>6</v>
      </c>
      <c r="Q37" s="258"/>
      <c r="R37" s="56"/>
      <c r="S37" s="259" t="s">
        <v>7</v>
      </c>
      <c r="T37" s="260"/>
      <c r="U37" s="59" t="s">
        <v>152</v>
      </c>
    </row>
    <row r="38" spans="1:22" ht="15" customHeight="1" x14ac:dyDescent="0.25">
      <c r="A38" s="252" t="s">
        <v>22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71"/>
    </row>
    <row r="39" spans="1:22" ht="15" customHeight="1" x14ac:dyDescent="0.25">
      <c r="A39" s="99">
        <v>92900</v>
      </c>
      <c r="B39" s="100" t="s">
        <v>100</v>
      </c>
      <c r="C39" s="20"/>
      <c r="D39" s="21" t="str">
        <f>IF(C39&gt;=1,(K39-C39)*(1+P39*PRICING!$D$4/100)/PRICING!$D$4+Q39,"")</f>
        <v/>
      </c>
      <c r="E39" s="21" t="str">
        <f>IF(C39&gt;=1,(K39-C39)*(1+P39*PRICING!$E$4/100)/PRICING!$E$4+Q39,"")</f>
        <v/>
      </c>
      <c r="F39" s="21" t="str">
        <f>IF(C39&gt;=1,(K39-C39)*(1+$P39*PRICING!$F$4/100)/PRICING!$F$4+Q39, "")</f>
        <v/>
      </c>
      <c r="G39" s="21" t="str">
        <f>IF(C39&gt;=1, (K39-C39)*(1+$P39*PRICING!$G$4/100)/PRICING!$G$4+Q39,"")</f>
        <v/>
      </c>
      <c r="H39" s="21" t="str">
        <f>IF(C39&gt;=1, (K39-C39)*(1+$P39*PRICING!$H$4/100)/PRICING!$H$4+Q39, "")</f>
        <v/>
      </c>
      <c r="I39" s="21" t="str">
        <f>IF(C39&gt;=1, (K39-C39)*(1+$P39*PRICING!$I$4/100)/PRICING!$I$4+Q39, "")</f>
        <v/>
      </c>
      <c r="J39" s="101"/>
      <c r="K39" s="102">
        <v>95529</v>
      </c>
      <c r="L39" s="102">
        <v>92900</v>
      </c>
      <c r="M39" s="102">
        <v>94736</v>
      </c>
      <c r="N39" s="102">
        <v>95512</v>
      </c>
      <c r="O39" s="102">
        <v>96389</v>
      </c>
      <c r="P39" s="103">
        <v>2.17</v>
      </c>
      <c r="Q39" s="104"/>
      <c r="R39" s="101"/>
      <c r="S39" s="105">
        <v>200</v>
      </c>
      <c r="T39" s="105">
        <v>100</v>
      </c>
      <c r="U39" s="106"/>
      <c r="V39" s="106"/>
    </row>
    <row r="40" spans="1:22" s="170" customFormat="1" ht="15" customHeight="1" x14ac:dyDescent="0.25">
      <c r="A40" s="166">
        <v>86900</v>
      </c>
      <c r="B40" s="167" t="s">
        <v>86</v>
      </c>
      <c r="C40" s="168">
        <v>1</v>
      </c>
      <c r="D40" s="169">
        <f t="shared" ref="D40:D65" si="12">IF(C40&gt;=1,(K40-C40)*(1+P40*$D$2/100)/$D$2+Q40,"")</f>
        <v>16820.389866666665</v>
      </c>
      <c r="E40" s="169">
        <f t="shared" ref="E40:E65" si="13">IF(C40&gt;=1,(K40-C40)*(1+P40*$E$2/100)/$E$2+Q40,"")</f>
        <v>9379.0565333333325</v>
      </c>
      <c r="F40" s="169">
        <f t="shared" ref="F40:F51" si="14">IF(C40&gt;=1,(K40-C40)*(1+$P40*$F$2/100)/$F$2+Q40, "")</f>
        <v>6898.612088888889</v>
      </c>
      <c r="G40" s="169">
        <f t="shared" ref="G40:G51" si="15">IF(C40&gt;=1, (K40-C40)*(1+$P40*$G$2/100)/$G$2+Q40,"")</f>
        <v>5658.3898666666655</v>
      </c>
      <c r="H40" s="169">
        <f t="shared" ref="H40:H50" si="16">IF(C40&gt;=1, (K40-C40)*(1+$P40*$H$2/100)/$H$2+Q40, "")</f>
        <v>4914.2565333333332</v>
      </c>
      <c r="I40" s="169">
        <f t="shared" ref="I40:I50" si="17">IF(C40&gt;=1, (K40-C40)*(1+$P40*$I$2/100)/$I$2+Q40, "")</f>
        <v>4418.1676444444447</v>
      </c>
      <c r="K40" s="171">
        <v>89297</v>
      </c>
      <c r="L40" s="171">
        <v>86795</v>
      </c>
      <c r="M40" s="171">
        <f>87629+960</f>
        <v>88589</v>
      </c>
      <c r="N40" s="171">
        <f>88463+960</f>
        <v>89423</v>
      </c>
      <c r="O40" s="171">
        <f>89297+860</f>
        <v>90157</v>
      </c>
      <c r="P40" s="172">
        <v>2.17</v>
      </c>
      <c r="Q40" s="173"/>
      <c r="S40" s="173">
        <v>200</v>
      </c>
      <c r="T40" s="173">
        <v>100</v>
      </c>
      <c r="U40" s="174"/>
    </row>
    <row r="41" spans="1:22" s="170" customFormat="1" ht="15" customHeight="1" x14ac:dyDescent="0.25">
      <c r="A41" s="166">
        <v>89900</v>
      </c>
      <c r="B41" s="167" t="s">
        <v>92</v>
      </c>
      <c r="C41" s="168">
        <v>1</v>
      </c>
      <c r="D41" s="169">
        <f t="shared" si="12"/>
        <v>17443.88353333333</v>
      </c>
      <c r="E41" s="169">
        <f t="shared" si="13"/>
        <v>9726.7168666666676</v>
      </c>
      <c r="F41" s="169">
        <f t="shared" si="14"/>
        <v>7154.327977777778</v>
      </c>
      <c r="G41" s="169">
        <f t="shared" si="15"/>
        <v>5868.1335333333336</v>
      </c>
      <c r="H41" s="169">
        <f t="shared" si="16"/>
        <v>5096.4168666666665</v>
      </c>
      <c r="I41" s="169">
        <f t="shared" si="17"/>
        <v>4581.9390888888893</v>
      </c>
      <c r="K41" s="171">
        <v>92607</v>
      </c>
      <c r="L41" s="171">
        <v>90105</v>
      </c>
      <c r="M41" s="171">
        <v>91899</v>
      </c>
      <c r="N41" s="171">
        <v>92733</v>
      </c>
      <c r="O41" s="171">
        <v>93467</v>
      </c>
      <c r="P41" s="172">
        <v>2.17</v>
      </c>
      <c r="Q41" s="173"/>
      <c r="S41" s="173">
        <v>200</v>
      </c>
      <c r="T41" s="173">
        <v>100</v>
      </c>
      <c r="U41" s="174"/>
    </row>
    <row r="42" spans="1:22" s="170" customFormat="1" ht="12.75" customHeight="1" x14ac:dyDescent="0.25">
      <c r="A42" s="166">
        <v>55500</v>
      </c>
      <c r="B42" s="167" t="s">
        <v>88</v>
      </c>
      <c r="C42" s="168">
        <v>1</v>
      </c>
      <c r="D42" s="169">
        <f t="shared" si="12"/>
        <v>11161.056333333332</v>
      </c>
      <c r="E42" s="169">
        <f t="shared" si="13"/>
        <v>6311.889666666666</v>
      </c>
      <c r="F42" s="169">
        <f t="shared" si="14"/>
        <v>4695.5007777777782</v>
      </c>
      <c r="G42" s="169">
        <f t="shared" si="15"/>
        <v>3887.3063333333334</v>
      </c>
      <c r="H42" s="169">
        <f t="shared" si="16"/>
        <v>3402.3896666666665</v>
      </c>
      <c r="I42" s="169">
        <f t="shared" si="17"/>
        <v>3079.1118888888891</v>
      </c>
      <c r="K42" s="171">
        <v>58191</v>
      </c>
      <c r="L42" s="171">
        <v>57092</v>
      </c>
      <c r="M42" s="171">
        <f>57458+960</f>
        <v>58418</v>
      </c>
      <c r="N42" s="171">
        <f>57824+960</f>
        <v>58784</v>
      </c>
      <c r="O42" s="171">
        <f>58191+860</f>
        <v>59051</v>
      </c>
      <c r="P42" s="172">
        <v>2.17</v>
      </c>
      <c r="Q42" s="173">
        <v>200</v>
      </c>
      <c r="S42" s="173">
        <v>200</v>
      </c>
      <c r="T42" s="173">
        <v>100</v>
      </c>
      <c r="U42" s="174"/>
    </row>
    <row r="43" spans="1:22" s="170" customFormat="1" ht="12.75" customHeight="1" x14ac:dyDescent="0.25">
      <c r="A43" s="166">
        <v>65200</v>
      </c>
      <c r="B43" s="167" t="s">
        <v>89</v>
      </c>
      <c r="C43" s="168">
        <v>1</v>
      </c>
      <c r="D43" s="169">
        <f t="shared" si="12"/>
        <v>13380.957499999999</v>
      </c>
      <c r="E43" s="169">
        <f t="shared" si="13"/>
        <v>7549.7074999999995</v>
      </c>
      <c r="F43" s="169">
        <f t="shared" si="14"/>
        <v>5605.9575000000004</v>
      </c>
      <c r="G43" s="169">
        <f t="shared" si="15"/>
        <v>4634.0824999999995</v>
      </c>
      <c r="H43" s="169">
        <f t="shared" si="16"/>
        <v>4050.9574999999995</v>
      </c>
      <c r="I43" s="169">
        <f t="shared" si="17"/>
        <v>3662.2075</v>
      </c>
      <c r="K43" s="171">
        <v>69976</v>
      </c>
      <c r="L43" s="171">
        <v>66846</v>
      </c>
      <c r="M43" s="171">
        <v>68849</v>
      </c>
      <c r="N43" s="171">
        <v>69892</v>
      </c>
      <c r="O43" s="171">
        <v>70836</v>
      </c>
      <c r="P43" s="172">
        <v>2.17</v>
      </c>
      <c r="Q43" s="173">
        <v>200</v>
      </c>
      <c r="S43" s="173">
        <v>200</v>
      </c>
      <c r="T43" s="173">
        <v>100</v>
      </c>
      <c r="U43" s="174"/>
    </row>
    <row r="44" spans="1:22" s="170" customFormat="1" ht="12.75" customHeight="1" x14ac:dyDescent="0.25">
      <c r="A44" s="166">
        <v>63500</v>
      </c>
      <c r="B44" s="167" t="s">
        <v>59</v>
      </c>
      <c r="C44" s="168">
        <v>1</v>
      </c>
      <c r="D44" s="169">
        <f t="shared" si="12"/>
        <v>13304.292266666665</v>
      </c>
      <c r="E44" s="169">
        <f t="shared" si="13"/>
        <v>7506.9589333333324</v>
      </c>
      <c r="F44" s="169">
        <f t="shared" si="14"/>
        <v>5574.514488888889</v>
      </c>
      <c r="G44" s="169">
        <f t="shared" si="15"/>
        <v>4608.2922666666664</v>
      </c>
      <c r="H44" s="169">
        <f t="shared" si="16"/>
        <v>4028.5589333333328</v>
      </c>
      <c r="I44" s="169">
        <f t="shared" si="17"/>
        <v>3642.0700444444446</v>
      </c>
      <c r="K44" s="171">
        <v>69569</v>
      </c>
      <c r="L44" s="171">
        <v>66439</v>
      </c>
      <c r="M44" s="171">
        <f>67482+960</f>
        <v>68442</v>
      </c>
      <c r="N44" s="171">
        <f>68525+960</f>
        <v>69485</v>
      </c>
      <c r="O44" s="171">
        <f>69569+860</f>
        <v>70429</v>
      </c>
      <c r="P44" s="172">
        <v>2.17</v>
      </c>
      <c r="Q44" s="173">
        <v>200</v>
      </c>
      <c r="S44" s="173">
        <v>200</v>
      </c>
      <c r="T44" s="173">
        <v>100</v>
      </c>
      <c r="U44" s="174"/>
    </row>
    <row r="45" spans="1:22" s="170" customFormat="1" ht="12.75" customHeight="1" x14ac:dyDescent="0.25">
      <c r="A45" s="166">
        <v>65000</v>
      </c>
      <c r="B45" s="167" t="s">
        <v>90</v>
      </c>
      <c r="C45" s="168">
        <v>1</v>
      </c>
      <c r="D45" s="169">
        <f t="shared" si="12"/>
        <v>13645.235933333332</v>
      </c>
      <c r="E45" s="169">
        <f t="shared" si="13"/>
        <v>7697.0692666666664</v>
      </c>
      <c r="F45" s="169">
        <f t="shared" si="14"/>
        <v>5714.3470444444447</v>
      </c>
      <c r="G45" s="169">
        <f t="shared" si="15"/>
        <v>4722.9859333333334</v>
      </c>
      <c r="H45" s="169">
        <f t="shared" si="16"/>
        <v>4128.1692666666659</v>
      </c>
      <c r="I45" s="169">
        <f t="shared" si="17"/>
        <v>3731.6248222222221</v>
      </c>
      <c r="K45" s="171">
        <v>71379</v>
      </c>
      <c r="L45" s="171">
        <v>68249</v>
      </c>
      <c r="M45" s="171">
        <v>70252</v>
      </c>
      <c r="N45" s="171">
        <v>71295</v>
      </c>
      <c r="O45" s="171">
        <v>72239</v>
      </c>
      <c r="P45" s="172">
        <v>2.17</v>
      </c>
      <c r="Q45" s="173">
        <v>200</v>
      </c>
      <c r="S45" s="173">
        <v>200</v>
      </c>
      <c r="T45" s="173">
        <v>100</v>
      </c>
      <c r="U45" s="174"/>
    </row>
    <row r="46" spans="1:22" ht="12.75" customHeight="1" x14ac:dyDescent="0.25">
      <c r="A46" s="99">
        <v>66900</v>
      </c>
      <c r="B46" s="100" t="s">
        <v>101</v>
      </c>
      <c r="C46" s="20">
        <v>1</v>
      </c>
      <c r="D46" s="21">
        <f>IF(C46&gt;=1,(K46-C46)*(1+P46*PRICING!$D$4/100)/PRICING!$D$4+Q46,"")</f>
        <v>13093.555366666666</v>
      </c>
      <c r="E46" s="21">
        <f>IF(C46&gt;=1,(K46-C46)*(1+P46*PRICING!$E$4/100)/PRICING!$E$4+Q46,"")</f>
        <v>7300.9720333333325</v>
      </c>
      <c r="F46" s="21">
        <f>IF(C46&gt;=1,(K46-C46)*(1+$P46*PRICING!$F$4/100)/PRICING!$F$4+Q46, "")</f>
        <v>5370.1109222222221</v>
      </c>
      <c r="G46" s="21">
        <f>IF(C46&gt;=1, (K46-C46)*(1+$P46*PRICING!$G$4/100)/PRICING!$G$4+Q46,"")</f>
        <v>4404.6803666666665</v>
      </c>
      <c r="H46" s="21">
        <f>IF(C46&gt;=1, (K46-C46)*(1+$P46*PRICING!$H$4/100)/PRICING!$H$4+Q46, "")</f>
        <v>3825.4220333333333</v>
      </c>
      <c r="I46" s="21">
        <f>IF(C46&gt;=1, (K46-C46)*(1+$P46*PRICING!$I$4/100)/PRICING!$I$4+Q46, "")</f>
        <v>3439.2498111111113</v>
      </c>
      <c r="J46" s="101"/>
      <c r="K46" s="102">
        <v>69512</v>
      </c>
      <c r="L46" s="102">
        <v>68118</v>
      </c>
      <c r="M46" s="102">
        <f>68629+960</f>
        <v>69589</v>
      </c>
      <c r="N46" s="102">
        <f>69070+960</f>
        <v>70030</v>
      </c>
      <c r="O46" s="102">
        <f>69512+860</f>
        <v>70372</v>
      </c>
      <c r="P46" s="103">
        <v>2.17</v>
      </c>
      <c r="Q46" s="104"/>
      <c r="R46" s="101"/>
      <c r="S46" s="105">
        <v>200</v>
      </c>
      <c r="T46" s="105">
        <v>100</v>
      </c>
      <c r="U46" s="106"/>
      <c r="V46" s="106"/>
    </row>
    <row r="47" spans="1:22" s="170" customFormat="1" ht="12.75" customHeight="1" x14ac:dyDescent="0.25">
      <c r="A47" s="166">
        <v>58900</v>
      </c>
      <c r="B47" s="167" t="s">
        <v>56</v>
      </c>
      <c r="C47" s="168">
        <v>1</v>
      </c>
      <c r="D47" s="169">
        <f t="shared" si="12"/>
        <v>11853.303833333332</v>
      </c>
      <c r="E47" s="169">
        <f t="shared" si="13"/>
        <v>6697.8871666666664</v>
      </c>
      <c r="F47" s="169">
        <f t="shared" si="14"/>
        <v>4979.4149444444447</v>
      </c>
      <c r="G47" s="169">
        <f t="shared" si="15"/>
        <v>4120.1788333333334</v>
      </c>
      <c r="H47" s="169">
        <f t="shared" si="16"/>
        <v>3604.6371666666664</v>
      </c>
      <c r="I47" s="169">
        <f t="shared" si="17"/>
        <v>3260.9427222222225</v>
      </c>
      <c r="J47" s="175"/>
      <c r="K47" s="171">
        <v>61866</v>
      </c>
      <c r="L47" s="171">
        <v>60789</v>
      </c>
      <c r="M47" s="171">
        <v>62108</v>
      </c>
      <c r="N47" s="171">
        <v>62467</v>
      </c>
      <c r="O47" s="171">
        <v>62726</v>
      </c>
      <c r="P47" s="172">
        <v>2.17</v>
      </c>
      <c r="Q47" s="173">
        <v>200</v>
      </c>
      <c r="S47" s="173">
        <v>200</v>
      </c>
      <c r="T47" s="173">
        <v>50</v>
      </c>
      <c r="U47" s="174"/>
    </row>
    <row r="48" spans="1:22" s="170" customFormat="1" x14ac:dyDescent="0.25">
      <c r="A48" s="166">
        <v>53900</v>
      </c>
      <c r="B48" s="167" t="s">
        <v>55</v>
      </c>
      <c r="C48" s="168">
        <v>1</v>
      </c>
      <c r="D48" s="169">
        <f t="shared" si="12"/>
        <v>10944.246299999999</v>
      </c>
      <c r="E48" s="169">
        <f t="shared" si="13"/>
        <v>6190.9962999999998</v>
      </c>
      <c r="F48" s="169">
        <f t="shared" si="14"/>
        <v>4606.5796333333337</v>
      </c>
      <c r="G48" s="169">
        <f t="shared" si="15"/>
        <v>3814.3713000000002</v>
      </c>
      <c r="H48" s="169">
        <f t="shared" si="16"/>
        <v>3339.0463</v>
      </c>
      <c r="I48" s="169">
        <f t="shared" si="17"/>
        <v>3022.1629666666668</v>
      </c>
      <c r="J48" s="175"/>
      <c r="K48" s="171">
        <v>57040</v>
      </c>
      <c r="L48" s="171">
        <v>56053</v>
      </c>
      <c r="M48" s="171">
        <v>57342</v>
      </c>
      <c r="N48" s="171">
        <v>57671</v>
      </c>
      <c r="O48" s="171">
        <v>57900</v>
      </c>
      <c r="P48" s="172">
        <v>2.17</v>
      </c>
      <c r="Q48" s="173">
        <v>200</v>
      </c>
      <c r="S48" s="173">
        <v>200</v>
      </c>
      <c r="T48" s="173">
        <v>50</v>
      </c>
      <c r="U48" s="174"/>
    </row>
    <row r="49" spans="1:22" s="170" customFormat="1" x14ac:dyDescent="0.25">
      <c r="A49" s="166">
        <v>64400</v>
      </c>
      <c r="B49" s="167" t="s">
        <v>52</v>
      </c>
      <c r="C49" s="168">
        <v>1</v>
      </c>
      <c r="D49" s="169">
        <f t="shared" si="12"/>
        <v>12935.470333333331</v>
      </c>
      <c r="E49" s="169">
        <f t="shared" si="13"/>
        <v>7301.3036666666667</v>
      </c>
      <c r="F49" s="169">
        <f t="shared" si="14"/>
        <v>5423.248111111111</v>
      </c>
      <c r="G49" s="169">
        <f t="shared" si="15"/>
        <v>4484.2203333333337</v>
      </c>
      <c r="H49" s="169">
        <f t="shared" si="16"/>
        <v>3920.8036666666662</v>
      </c>
      <c r="I49" s="169">
        <f t="shared" si="17"/>
        <v>3545.1925555555554</v>
      </c>
      <c r="K49" s="171">
        <v>67611</v>
      </c>
      <c r="L49" s="171">
        <v>66205</v>
      </c>
      <c r="M49" s="171">
        <v>67633</v>
      </c>
      <c r="N49" s="171">
        <v>68101</v>
      </c>
      <c r="O49" s="171">
        <v>68471</v>
      </c>
      <c r="P49" s="172">
        <v>2.17</v>
      </c>
      <c r="Q49" s="173">
        <v>200</v>
      </c>
      <c r="S49" s="173">
        <v>200</v>
      </c>
      <c r="T49" s="173">
        <v>100</v>
      </c>
      <c r="U49" s="174"/>
    </row>
    <row r="50" spans="1:22" s="170" customFormat="1" x14ac:dyDescent="0.25">
      <c r="A50" s="166">
        <v>57900</v>
      </c>
      <c r="B50" s="167" t="s">
        <v>91</v>
      </c>
      <c r="C50" s="168">
        <v>1</v>
      </c>
      <c r="D50" s="169">
        <f t="shared" si="12"/>
        <v>11761.569266666665</v>
      </c>
      <c r="E50" s="169">
        <f t="shared" si="13"/>
        <v>6646.7359333333334</v>
      </c>
      <c r="F50" s="169">
        <f t="shared" si="14"/>
        <v>4941.791488888889</v>
      </c>
      <c r="G50" s="169">
        <f t="shared" si="15"/>
        <v>4089.3192666666669</v>
      </c>
      <c r="H50" s="169">
        <f t="shared" si="16"/>
        <v>3577.8359333333333</v>
      </c>
      <c r="I50" s="169">
        <f t="shared" si="17"/>
        <v>3236.8470444444447</v>
      </c>
      <c r="K50" s="171">
        <v>61379</v>
      </c>
      <c r="L50" s="171">
        <v>59650</v>
      </c>
      <c r="M50" s="171">
        <v>61186</v>
      </c>
      <c r="N50" s="171">
        <v>61762</v>
      </c>
      <c r="O50" s="171">
        <v>62239</v>
      </c>
      <c r="P50" s="172">
        <v>2.17</v>
      </c>
      <c r="Q50" s="173">
        <v>200</v>
      </c>
      <c r="S50" s="173">
        <v>200</v>
      </c>
      <c r="T50" s="173">
        <v>100</v>
      </c>
      <c r="U50" s="174"/>
    </row>
    <row r="51" spans="1:22" s="170" customFormat="1" x14ac:dyDescent="0.25">
      <c r="A51" s="166">
        <v>165500</v>
      </c>
      <c r="B51" s="167" t="s">
        <v>53</v>
      </c>
      <c r="C51" s="168">
        <v>1</v>
      </c>
      <c r="D51" s="169">
        <f t="shared" si="12"/>
        <v>36116.883333333339</v>
      </c>
      <c r="E51" s="169">
        <f t="shared" si="13"/>
        <v>21005.216666666671</v>
      </c>
      <c r="F51" s="169">
        <f t="shared" si="14"/>
        <v>15967.994444444443</v>
      </c>
      <c r="G51" s="169">
        <f t="shared" si="15"/>
        <v>13449.383333333333</v>
      </c>
      <c r="H51" s="169"/>
      <c r="I51" s="169"/>
      <c r="K51" s="171">
        <v>181341</v>
      </c>
      <c r="L51" s="171">
        <v>181341</v>
      </c>
      <c r="M51" s="171">
        <v>182301</v>
      </c>
      <c r="N51" s="171">
        <v>182301</v>
      </c>
      <c r="O51" s="171">
        <v>182201</v>
      </c>
      <c r="P51" s="172">
        <v>3.25</v>
      </c>
      <c r="Q51" s="173"/>
      <c r="S51" s="173">
        <v>200</v>
      </c>
      <c r="T51" s="173">
        <v>100</v>
      </c>
      <c r="U51" s="174"/>
    </row>
    <row r="52" spans="1:22" s="170" customFormat="1" x14ac:dyDescent="0.25">
      <c r="A52" s="166"/>
      <c r="B52" s="167" t="s">
        <v>54</v>
      </c>
      <c r="C52" s="168">
        <v>1</v>
      </c>
      <c r="D52" s="169">
        <f t="shared" si="12"/>
        <v>52778.967499999999</v>
      </c>
      <c r="E52" s="169">
        <f t="shared" si="13"/>
        <v>30695.717500000002</v>
      </c>
      <c r="F52" s="169"/>
      <c r="G52" s="169"/>
      <c r="H52" s="169"/>
      <c r="I52" s="169"/>
      <c r="K52" s="171">
        <v>265000</v>
      </c>
      <c r="L52" s="171">
        <v>250000</v>
      </c>
      <c r="M52" s="171">
        <f>226186+960</f>
        <v>227146</v>
      </c>
      <c r="N52" s="171">
        <f>227647+960</f>
        <v>228607</v>
      </c>
      <c r="O52" s="171">
        <f>229108+960</f>
        <v>230068</v>
      </c>
      <c r="P52" s="172">
        <v>3.25</v>
      </c>
      <c r="Q52" s="173"/>
      <c r="S52" s="173">
        <v>350</v>
      </c>
      <c r="T52" s="173">
        <v>100</v>
      </c>
      <c r="U52" s="174"/>
    </row>
    <row r="53" spans="1:22" x14ac:dyDescent="0.25">
      <c r="A53" s="99">
        <v>116800</v>
      </c>
      <c r="B53" s="110" t="s">
        <v>150</v>
      </c>
      <c r="C53" s="20"/>
      <c r="D53" s="21" t="str">
        <f>IF(C53&gt;=1,(K53-C53)*(1+P53*PRICING!$D$4/100)/PRICING!$D$4+Q53,"")</f>
        <v/>
      </c>
      <c r="E53" s="21" t="str">
        <f>IF(C53&gt;=1,(K53-C53)*(1+P53*PRICING!$E$4/100)/PRICING!$E$4+Q53,"")</f>
        <v/>
      </c>
      <c r="F53" s="21" t="str">
        <f>IF(C53&gt;=1,(K53-C53)*(1+$P53*PRICING!$F$4/100)/PRICING!$F$4+Q53, "")</f>
        <v/>
      </c>
      <c r="G53" s="21" t="str">
        <f>IF(C53&gt;=1, (K53-C53)*(1+$P53*PRICING!$G$4/100)/PRICING!$G$4+Q53,"")</f>
        <v/>
      </c>
      <c r="H53" s="21" t="str">
        <f>IF(C53&gt;=1, (K53-C53)*(1+$P53*PRICING!$H$4/100)/PRICING!$H$4+Q53, "")</f>
        <v/>
      </c>
      <c r="I53" s="21" t="str">
        <f>IF(C53&gt;=1, (K53-C53)*(1+$P53*PRICING!$I$4/100)/PRICING!$I$4+Q53, "")</f>
        <v/>
      </c>
      <c r="J53" s="101"/>
      <c r="K53" s="102">
        <v>121079</v>
      </c>
      <c r="L53" s="102">
        <v>117716</v>
      </c>
      <c r="M53" s="102">
        <v>119797</v>
      </c>
      <c r="N53" s="102">
        <v>120918</v>
      </c>
      <c r="O53" s="102">
        <v>121939</v>
      </c>
      <c r="P53" s="103">
        <v>2.17</v>
      </c>
      <c r="Q53" s="104">
        <v>200</v>
      </c>
      <c r="R53" s="101"/>
      <c r="S53" s="105">
        <v>200</v>
      </c>
      <c r="T53" s="105">
        <v>100</v>
      </c>
      <c r="U53" s="106"/>
      <c r="V53" s="106"/>
    </row>
    <row r="54" spans="1:22" s="170" customFormat="1" x14ac:dyDescent="0.25">
      <c r="A54" s="166">
        <v>229900</v>
      </c>
      <c r="B54" s="167" t="s">
        <v>79</v>
      </c>
      <c r="C54" s="168">
        <v>1</v>
      </c>
      <c r="D54" s="169">
        <f t="shared" si="12"/>
        <v>47245.719166666669</v>
      </c>
      <c r="E54" s="169">
        <f t="shared" si="13"/>
        <v>27477.635833333334</v>
      </c>
      <c r="F54" s="169">
        <f t="shared" ref="F54:F69" si="18">IF(C54&gt;=1,(K54-C54)*(1+$P54*$F$2/100)/$F$2+Q54, "")</f>
        <v>20888.274722222224</v>
      </c>
      <c r="G54" s="169">
        <f t="shared" ref="G54:G69" si="19">IF(C54&gt;=1, (K54-C54)*(1+$P54*$G$2/100)/$G$2+Q54,"")</f>
        <v>17593.594166666666</v>
      </c>
      <c r="H54" s="169"/>
      <c r="I54" s="169"/>
      <c r="J54" s="175"/>
      <c r="K54" s="171">
        <v>237218</v>
      </c>
      <c r="L54" s="171">
        <v>232835</v>
      </c>
      <c r="M54" s="171">
        <v>235256</v>
      </c>
      <c r="N54" s="171">
        <v>236717</v>
      </c>
      <c r="O54" s="171">
        <v>238078</v>
      </c>
      <c r="P54" s="172">
        <v>3.25</v>
      </c>
      <c r="Q54" s="173"/>
      <c r="S54" s="173">
        <v>350</v>
      </c>
      <c r="T54" s="173">
        <v>100</v>
      </c>
      <c r="U54" s="174"/>
    </row>
    <row r="55" spans="1:22" x14ac:dyDescent="0.25">
      <c r="A55" s="99">
        <v>70300</v>
      </c>
      <c r="B55" s="100" t="s">
        <v>84</v>
      </c>
      <c r="C55" s="20"/>
      <c r="D55" s="21" t="str">
        <f>IF(C55&gt;=1,(K55-C55)*(1+P55*PRICING!$D$4/100)/PRICING!$D$4+Q55,"")</f>
        <v/>
      </c>
      <c r="E55" s="21" t="str">
        <f>IF(C55&gt;=1,(K55-C55)*(1+P55*PRICING!$E$4/100)/PRICING!$E$4+Q55,"")</f>
        <v/>
      </c>
      <c r="F55" s="21" t="str">
        <f>IF(C55&gt;=1,(K55-C55)*(1+$P55*PRICING!$F$4/100)/PRICING!$F$4+Q55, "")</f>
        <v/>
      </c>
      <c r="G55" s="21" t="str">
        <f>IF(C55&gt;=1, (K55-C55)*(1+$P55*PRICING!$G$4/100)/PRICING!$G$4+Q55,"")</f>
        <v/>
      </c>
      <c r="H55" s="21" t="str">
        <f>IF(C55&gt;=1, (K55-C55)*(1+$P55*PRICING!$H$4/100)/PRICING!$H$4+Q55, "")</f>
        <v/>
      </c>
      <c r="I55" s="21" t="str">
        <f>IF(C55&gt;=1, (K55-C55)*(1+$P55*PRICING!$I$4/100)/PRICING!$I$4+Q55, "")</f>
        <v/>
      </c>
      <c r="J55" s="101"/>
      <c r="K55" s="102">
        <v>74847</v>
      </c>
      <c r="L55" s="102">
        <v>71717</v>
      </c>
      <c r="M55" s="102">
        <v>73720</v>
      </c>
      <c r="N55" s="102">
        <v>74663</v>
      </c>
      <c r="O55" s="102">
        <v>75707</v>
      </c>
      <c r="P55" s="103">
        <v>3</v>
      </c>
      <c r="Q55" s="104"/>
      <c r="R55" s="101"/>
      <c r="S55" s="105">
        <v>500</v>
      </c>
      <c r="T55" s="105">
        <v>100</v>
      </c>
      <c r="U55" s="106"/>
      <c r="V55" s="106"/>
    </row>
    <row r="56" spans="1:22" x14ac:dyDescent="0.25">
      <c r="A56" s="99">
        <v>65000</v>
      </c>
      <c r="B56" s="100" t="s">
        <v>83</v>
      </c>
      <c r="C56" s="20"/>
      <c r="D56" s="21" t="str">
        <f>IF(C56&gt;=1,(K56-C56)*(1+P56*PRICING!$D$4/100)/PRICING!$D$4+Q56,"")</f>
        <v/>
      </c>
      <c r="E56" s="21" t="str">
        <f>IF(C56&gt;=1,(K56-C56)*(1+P56*PRICING!$E$4/100)/PRICING!$E$4+Q56,"")</f>
        <v/>
      </c>
      <c r="F56" s="21" t="str">
        <f>IF(C56&gt;=1,(K56-C56)*(1+$P56*PRICING!$F$4/100)/PRICING!$F$4+Q56, "")</f>
        <v/>
      </c>
      <c r="G56" s="21" t="str">
        <f>IF(C56&gt;=1, (K56-C56)*(1+$P56*PRICING!$G$4/100)/PRICING!$G$4+Q56,"")</f>
        <v/>
      </c>
      <c r="H56" s="21" t="str">
        <f>IF(C56&gt;=1, (K56-C56)*(1+$P56*PRICING!$H$4/100)/PRICING!$H$4+Q56, "")</f>
        <v/>
      </c>
      <c r="I56" s="21" t="str">
        <f>IF(C56&gt;=1, (K56-C56)*(1+$P56*PRICING!$I$4/100)/PRICING!$I$4+Q56, "")</f>
        <v/>
      </c>
      <c r="J56" s="101"/>
      <c r="K56" s="102">
        <v>69494</v>
      </c>
      <c r="L56" s="102">
        <v>66364</v>
      </c>
      <c r="M56" s="102">
        <v>68367</v>
      </c>
      <c r="N56" s="102">
        <v>69410</v>
      </c>
      <c r="O56" s="102">
        <v>70354</v>
      </c>
      <c r="P56" s="103">
        <v>3</v>
      </c>
      <c r="Q56" s="104"/>
      <c r="R56" s="101"/>
      <c r="S56" s="105">
        <v>500</v>
      </c>
      <c r="T56" s="105">
        <v>100</v>
      </c>
      <c r="U56" s="106"/>
      <c r="V56" s="106"/>
    </row>
    <row r="57" spans="1:22" s="170" customFormat="1" x14ac:dyDescent="0.25">
      <c r="A57" s="166">
        <v>69800</v>
      </c>
      <c r="B57" s="167" t="s">
        <v>58</v>
      </c>
      <c r="C57" s="168">
        <v>1</v>
      </c>
      <c r="D57" s="169">
        <f t="shared" si="12"/>
        <v>14270.424899999998</v>
      </c>
      <c r="E57" s="169">
        <f t="shared" si="13"/>
        <v>8045.6748999999991</v>
      </c>
      <c r="F57" s="169">
        <f t="shared" si="18"/>
        <v>5970.7582333333339</v>
      </c>
      <c r="G57" s="169">
        <f t="shared" si="19"/>
        <v>4933.2999</v>
      </c>
      <c r="H57" s="169">
        <f t="shared" ref="H57:H68" si="20">IF(C57&gt;=1, (K57-C57)*(1+$P57*$H$2/100)/$H$2+Q57, "")</f>
        <v>4310.8248999999996</v>
      </c>
      <c r="I57" s="169">
        <f t="shared" ref="I57:I68" si="21">IF(C57&gt;=1, (K57-C57)*(1+$P57*$I$2/100)/$I$2+Q57, "")</f>
        <v>3895.8415666666674</v>
      </c>
      <c r="K57" s="171">
        <v>74698</v>
      </c>
      <c r="L57" s="171">
        <v>72383</v>
      </c>
      <c r="M57" s="171">
        <v>74114</v>
      </c>
      <c r="N57" s="171">
        <v>74885</v>
      </c>
      <c r="O57" s="171">
        <v>75558</v>
      </c>
      <c r="P57" s="172">
        <v>2.17</v>
      </c>
      <c r="Q57" s="173">
        <v>200</v>
      </c>
      <c r="S57" s="173">
        <v>200</v>
      </c>
      <c r="T57" s="173">
        <v>100</v>
      </c>
      <c r="U57" s="174"/>
    </row>
    <row r="58" spans="1:22" s="170" customFormat="1" x14ac:dyDescent="0.25">
      <c r="A58" s="166">
        <v>69990</v>
      </c>
      <c r="B58" s="167" t="s">
        <v>82</v>
      </c>
      <c r="C58" s="168">
        <v>1</v>
      </c>
      <c r="D58" s="169">
        <f t="shared" si="12"/>
        <v>14220.696099999999</v>
      </c>
      <c r="E58" s="169">
        <f t="shared" si="13"/>
        <v>8017.9461000000001</v>
      </c>
      <c r="F58" s="169">
        <f t="shared" si="18"/>
        <v>5950.3627666666671</v>
      </c>
      <c r="G58" s="169">
        <f t="shared" si="19"/>
        <v>4916.5711000000001</v>
      </c>
      <c r="H58" s="169">
        <f>IF(C58&gt;=1, (K58-C58)*(1+$P58*$H$2/100)/$H$2+Q58, "")</f>
        <v>4296.2960999999996</v>
      </c>
      <c r="I58" s="169">
        <f>IF(C58&gt;=1, (K58-C58)*(1+$P58*$I$2/100)/$I$2+Q58, "")</f>
        <v>3882.7794333333336</v>
      </c>
      <c r="K58" s="171">
        <v>74434</v>
      </c>
      <c r="L58" s="171">
        <v>73083</v>
      </c>
      <c r="M58" s="171">
        <v>74494</v>
      </c>
      <c r="N58" s="171">
        <v>74943</v>
      </c>
      <c r="O58" s="171">
        <v>75294</v>
      </c>
      <c r="P58" s="172">
        <v>2.17</v>
      </c>
      <c r="Q58" s="173">
        <v>200</v>
      </c>
      <c r="S58" s="173">
        <v>500</v>
      </c>
      <c r="T58" s="173">
        <v>100</v>
      </c>
      <c r="U58" s="174"/>
    </row>
    <row r="59" spans="1:22" s="170" customFormat="1" x14ac:dyDescent="0.25">
      <c r="A59" s="166">
        <v>72900</v>
      </c>
      <c r="B59" s="167" t="s">
        <v>57</v>
      </c>
      <c r="C59" s="168">
        <v>1</v>
      </c>
      <c r="D59" s="169">
        <f t="shared" si="12"/>
        <v>15510.254299999999</v>
      </c>
      <c r="E59" s="169">
        <f t="shared" si="13"/>
        <v>8737.0042999999987</v>
      </c>
      <c r="F59" s="169">
        <f t="shared" si="18"/>
        <v>6479.2543000000005</v>
      </c>
      <c r="G59" s="169">
        <f t="shared" si="19"/>
        <v>5350.3792999999996</v>
      </c>
      <c r="H59" s="169">
        <f t="shared" si="20"/>
        <v>4673.0542999999998</v>
      </c>
      <c r="I59" s="169">
        <f t="shared" si="21"/>
        <v>4221.5043000000005</v>
      </c>
      <c r="K59" s="171">
        <v>81280</v>
      </c>
      <c r="L59" s="171">
        <v>76885</v>
      </c>
      <c r="M59" s="171">
        <v>79310</v>
      </c>
      <c r="N59" s="171">
        <v>80775</v>
      </c>
      <c r="O59" s="171">
        <v>82140</v>
      </c>
      <c r="P59" s="172">
        <v>2.17</v>
      </c>
      <c r="Q59" s="173">
        <v>200</v>
      </c>
      <c r="S59" s="173">
        <v>500</v>
      </c>
      <c r="T59" s="173">
        <v>100</v>
      </c>
      <c r="U59" s="174"/>
    </row>
    <row r="60" spans="1:22" s="170" customFormat="1" x14ac:dyDescent="0.25">
      <c r="A60" s="166">
        <v>53700</v>
      </c>
      <c r="B60" s="167" t="s">
        <v>60</v>
      </c>
      <c r="C60" s="168">
        <v>1</v>
      </c>
      <c r="D60" s="169">
        <f t="shared" si="12"/>
        <v>11022.983566666666</v>
      </c>
      <c r="E60" s="169">
        <f t="shared" si="13"/>
        <v>6234.9002333333337</v>
      </c>
      <c r="F60" s="169">
        <f t="shared" si="18"/>
        <v>4638.8724555555564</v>
      </c>
      <c r="G60" s="169">
        <f t="shared" si="19"/>
        <v>3840.8585666666663</v>
      </c>
      <c r="H60" s="169">
        <f t="shared" si="20"/>
        <v>3362.0502333333329</v>
      </c>
      <c r="I60" s="169">
        <f t="shared" si="21"/>
        <v>3042.8446777777776</v>
      </c>
      <c r="K60" s="171">
        <v>57458</v>
      </c>
      <c r="L60" s="171">
        <v>55682</v>
      </c>
      <c r="M60" s="171">
        <v>57234</v>
      </c>
      <c r="N60" s="171">
        <v>57826</v>
      </c>
      <c r="O60" s="171">
        <v>58318</v>
      </c>
      <c r="P60" s="172">
        <v>2.17</v>
      </c>
      <c r="Q60" s="173">
        <v>200</v>
      </c>
      <c r="S60" s="173">
        <v>200</v>
      </c>
      <c r="T60" s="173">
        <v>100</v>
      </c>
      <c r="U60" s="174"/>
    </row>
    <row r="61" spans="1:22" s="170" customFormat="1" x14ac:dyDescent="0.25">
      <c r="A61" s="166">
        <v>58700</v>
      </c>
      <c r="B61" s="167" t="s">
        <v>61</v>
      </c>
      <c r="C61" s="168">
        <v>1</v>
      </c>
      <c r="D61" s="169">
        <f t="shared" si="12"/>
        <v>11974.235233333333</v>
      </c>
      <c r="E61" s="169">
        <f t="shared" si="13"/>
        <v>6765.3185666666659</v>
      </c>
      <c r="F61" s="169">
        <f t="shared" si="18"/>
        <v>5029.0130111111112</v>
      </c>
      <c r="G61" s="169">
        <f t="shared" si="19"/>
        <v>4160.8602333333329</v>
      </c>
      <c r="H61" s="169">
        <f t="shared" si="20"/>
        <v>3639.968566666666</v>
      </c>
      <c r="I61" s="169">
        <f t="shared" si="21"/>
        <v>3292.707455555556</v>
      </c>
      <c r="K61" s="171">
        <v>62508</v>
      </c>
      <c r="L61" s="171">
        <v>60732</v>
      </c>
      <c r="M61" s="171">
        <v>62284</v>
      </c>
      <c r="N61" s="171">
        <v>62876</v>
      </c>
      <c r="O61" s="171">
        <v>63368</v>
      </c>
      <c r="P61" s="172">
        <v>2.17</v>
      </c>
      <c r="Q61" s="173">
        <v>200</v>
      </c>
      <c r="S61" s="173">
        <v>200</v>
      </c>
      <c r="T61" s="173">
        <v>100</v>
      </c>
      <c r="U61" s="174"/>
    </row>
    <row r="62" spans="1:22" s="170" customFormat="1" x14ac:dyDescent="0.25">
      <c r="A62" s="166">
        <v>65300</v>
      </c>
      <c r="B62" s="167" t="s">
        <v>62</v>
      </c>
      <c r="C62" s="168">
        <v>1</v>
      </c>
      <c r="D62" s="169">
        <f t="shared" si="12"/>
        <v>13285.832333333332</v>
      </c>
      <c r="E62" s="169">
        <f t="shared" si="13"/>
        <v>7496.6656666666668</v>
      </c>
      <c r="F62" s="169">
        <f t="shared" si="18"/>
        <v>5566.943444444445</v>
      </c>
      <c r="G62" s="169">
        <f t="shared" si="19"/>
        <v>4602.0823333333328</v>
      </c>
      <c r="H62" s="169">
        <f t="shared" si="20"/>
        <v>4023.1656666666663</v>
      </c>
      <c r="I62" s="169">
        <f t="shared" si="21"/>
        <v>3637.2212222222224</v>
      </c>
      <c r="K62" s="171">
        <v>69471</v>
      </c>
      <c r="L62" s="171">
        <v>66698</v>
      </c>
      <c r="M62" s="171">
        <v>68582</v>
      </c>
      <c r="N62" s="171">
        <v>69506</v>
      </c>
      <c r="O62" s="171">
        <v>70331</v>
      </c>
      <c r="P62" s="172">
        <v>2.17</v>
      </c>
      <c r="Q62" s="173">
        <v>200</v>
      </c>
      <c r="S62" s="173">
        <v>200</v>
      </c>
      <c r="T62" s="173">
        <v>100</v>
      </c>
      <c r="U62" s="174"/>
    </row>
    <row r="63" spans="1:22" s="170" customFormat="1" x14ac:dyDescent="0.25">
      <c r="A63" s="166">
        <v>63200</v>
      </c>
      <c r="B63" s="167" t="s">
        <v>63</v>
      </c>
      <c r="C63" s="168">
        <v>1</v>
      </c>
      <c r="D63" s="169">
        <f t="shared" si="12"/>
        <v>12945.830499999998</v>
      </c>
      <c r="E63" s="169">
        <f t="shared" si="13"/>
        <v>7307.0805</v>
      </c>
      <c r="F63" s="169">
        <f t="shared" si="18"/>
        <v>5427.497166666667</v>
      </c>
      <c r="G63" s="169">
        <f t="shared" si="19"/>
        <v>4487.7055</v>
      </c>
      <c r="H63" s="169">
        <f t="shared" si="20"/>
        <v>3923.8304999999996</v>
      </c>
      <c r="I63" s="169">
        <f t="shared" si="21"/>
        <v>3547.9138333333335</v>
      </c>
      <c r="K63" s="171">
        <v>67666</v>
      </c>
      <c r="L63" s="171">
        <v>64536</v>
      </c>
      <c r="M63" s="171">
        <f>65579+960</f>
        <v>66539</v>
      </c>
      <c r="N63" s="171">
        <f>66622+960</f>
        <v>67582</v>
      </c>
      <c r="O63" s="171">
        <f>67666+860</f>
        <v>68526</v>
      </c>
      <c r="P63" s="172">
        <v>2.17</v>
      </c>
      <c r="Q63" s="173">
        <v>200</v>
      </c>
      <c r="S63" s="173">
        <v>200</v>
      </c>
      <c r="T63" s="173">
        <v>100</v>
      </c>
      <c r="U63" s="174"/>
    </row>
    <row r="64" spans="1:22" s="170" customFormat="1" x14ac:dyDescent="0.25">
      <c r="A64" s="166">
        <v>87900</v>
      </c>
      <c r="B64" s="167" t="s">
        <v>50</v>
      </c>
      <c r="C64" s="168">
        <v>1</v>
      </c>
      <c r="D64" s="169">
        <f t="shared" si="12"/>
        <v>17158.462633333333</v>
      </c>
      <c r="E64" s="169">
        <f t="shared" si="13"/>
        <v>9656.0459666666666</v>
      </c>
      <c r="F64" s="169">
        <f t="shared" si="18"/>
        <v>7155.2404111111118</v>
      </c>
      <c r="G64" s="169">
        <f t="shared" si="19"/>
        <v>5904.8376333333326</v>
      </c>
      <c r="H64" s="169">
        <f t="shared" si="20"/>
        <v>5154.5959666666658</v>
      </c>
      <c r="I64" s="169">
        <f t="shared" si="21"/>
        <v>4654.4348555555562</v>
      </c>
      <c r="K64" s="171">
        <v>90030</v>
      </c>
      <c r="L64" s="171">
        <v>88489</v>
      </c>
      <c r="M64" s="171">
        <v>89962</v>
      </c>
      <c r="N64" s="171">
        <v>90475</v>
      </c>
      <c r="O64" s="171">
        <v>90890</v>
      </c>
      <c r="P64" s="172">
        <v>2.17</v>
      </c>
      <c r="Q64" s="173">
        <v>200</v>
      </c>
      <c r="S64" s="173">
        <v>200</v>
      </c>
      <c r="T64" s="173">
        <v>100</v>
      </c>
      <c r="U64" s="174"/>
    </row>
    <row r="65" spans="1:22" s="170" customFormat="1" x14ac:dyDescent="0.25">
      <c r="A65" s="166">
        <v>144400</v>
      </c>
      <c r="B65" s="167" t="s">
        <v>23</v>
      </c>
      <c r="C65" s="168">
        <v>1</v>
      </c>
      <c r="D65" s="169">
        <f t="shared" si="12"/>
        <v>28590.104299999995</v>
      </c>
      <c r="E65" s="169">
        <f t="shared" si="13"/>
        <v>15941.854299999999</v>
      </c>
      <c r="F65" s="169">
        <f t="shared" si="18"/>
        <v>11725.770966666667</v>
      </c>
      <c r="G65" s="169">
        <f t="shared" si="19"/>
        <v>9617.7292999999991</v>
      </c>
      <c r="H65" s="169">
        <f t="shared" si="20"/>
        <v>8352.9042999999983</v>
      </c>
      <c r="I65" s="169">
        <f t="shared" si="21"/>
        <v>7509.687633333333</v>
      </c>
      <c r="K65" s="171">
        <v>151780</v>
      </c>
      <c r="L65" s="171">
        <v>143280</v>
      </c>
      <c r="M65" s="171">
        <v>147073</v>
      </c>
      <c r="N65" s="171">
        <v>149906</v>
      </c>
      <c r="O65" s="171">
        <v>152640</v>
      </c>
      <c r="P65" s="172">
        <v>2.17</v>
      </c>
      <c r="Q65" s="173"/>
      <c r="S65" s="173">
        <v>200</v>
      </c>
      <c r="T65" s="173">
        <v>100</v>
      </c>
      <c r="U65" s="174"/>
    </row>
    <row r="66" spans="1:22" x14ac:dyDescent="0.25">
      <c r="A66" s="99">
        <v>68200</v>
      </c>
      <c r="B66" s="100" t="s">
        <v>85</v>
      </c>
      <c r="C66" s="20"/>
      <c r="D66" s="21" t="str">
        <f>IF(C66&gt;=1,(K66-C66)*(1+P66*PRICING!$D$4/100)/PRICING!$D$4+Q66,"")</f>
        <v/>
      </c>
      <c r="E66" s="21" t="str">
        <f>IF(C66&gt;=1,(K66-C66)*(1+P66*PRICING!$E$4/100)/PRICING!$E$4+Q66,"")</f>
        <v/>
      </c>
      <c r="F66" s="21" t="str">
        <f>IF(C66&gt;=1,(K66-C66)*(1+$P66*PRICING!$F$4/100)/PRICING!$F$4+Q66, "")</f>
        <v/>
      </c>
      <c r="G66" s="21" t="str">
        <f>IF(C66&gt;=1, (K66-C66)*(1+$P66*PRICING!$G$4/100)/PRICING!$G$4+Q66,"")</f>
        <v/>
      </c>
      <c r="H66" s="21" t="str">
        <f>IF(C66&gt;=1, (K66-C66)*(1+$P66*PRICING!$H$4/100)/PRICING!$H$4+Q66, "")</f>
        <v/>
      </c>
      <c r="I66" s="21" t="str">
        <f>IF(C66&gt;=1, (K66-C66)*(1+$P66*PRICING!$I$4/100)/PRICING!$I$4+Q66, "")</f>
        <v/>
      </c>
      <c r="J66" s="101"/>
      <c r="K66" s="102">
        <v>72704</v>
      </c>
      <c r="L66" s="102">
        <v>69574</v>
      </c>
      <c r="M66" s="102">
        <v>71577</v>
      </c>
      <c r="N66" s="102">
        <v>72620</v>
      </c>
      <c r="O66" s="102">
        <v>73564</v>
      </c>
      <c r="P66" s="103">
        <v>3</v>
      </c>
      <c r="Q66" s="104"/>
      <c r="R66" s="101"/>
      <c r="S66" s="105">
        <v>600</v>
      </c>
      <c r="T66" s="105">
        <v>100</v>
      </c>
      <c r="U66" s="106"/>
      <c r="V66" s="106"/>
    </row>
    <row r="67" spans="1:22" s="170" customFormat="1" x14ac:dyDescent="0.25">
      <c r="A67" s="166">
        <v>61400</v>
      </c>
      <c r="B67" s="167" t="s">
        <v>24</v>
      </c>
      <c r="C67" s="168">
        <v>1</v>
      </c>
      <c r="D67" s="169">
        <f>IF(C67&gt;=1,(K67-C67)*(1+P67*$D$2/100)/$D$2+Q67,"")</f>
        <v>13025.823333333334</v>
      </c>
      <c r="E67" s="169">
        <f>IF(C67&gt;=1,(K67-C67)*(1+P67*$E$2/100)/$E$2+Q67,"")</f>
        <v>7506.4066666666658</v>
      </c>
      <c r="F67" s="169">
        <f t="shared" si="18"/>
        <v>5666.6011111111111</v>
      </c>
      <c r="G67" s="169">
        <f t="shared" si="19"/>
        <v>4746.6983333333328</v>
      </c>
      <c r="H67" s="169">
        <f t="shared" si="20"/>
        <v>4194.7566666666662</v>
      </c>
      <c r="I67" s="169">
        <f t="shared" si="21"/>
        <v>3826.7955555555559</v>
      </c>
      <c r="K67" s="171">
        <v>66234</v>
      </c>
      <c r="L67" s="171">
        <v>63104</v>
      </c>
      <c r="M67" s="171">
        <f>65048+60</f>
        <v>65108</v>
      </c>
      <c r="N67" s="171">
        <f>66092+60</f>
        <v>66152</v>
      </c>
      <c r="O67" s="171">
        <f>67034+60</f>
        <v>67094</v>
      </c>
      <c r="P67" s="172">
        <v>3</v>
      </c>
      <c r="Q67" s="173"/>
      <c r="S67" s="173">
        <v>600</v>
      </c>
      <c r="T67" s="173">
        <v>100</v>
      </c>
      <c r="U67" s="174"/>
    </row>
    <row r="68" spans="1:22" s="170" customFormat="1" x14ac:dyDescent="0.25">
      <c r="A68" s="166">
        <v>66900</v>
      </c>
      <c r="B68" s="167" t="s">
        <v>49</v>
      </c>
      <c r="C68" s="168">
        <v>1</v>
      </c>
      <c r="D68" s="169">
        <f>IF(C68&gt;=1,(K68-C68)*(1+P68*$D$2/100)/$D$2+Q68,"")</f>
        <v>14304.156666666668</v>
      </c>
      <c r="E68" s="169">
        <f>IF(C68&gt;=1,(K68-C68)*(1+P68*$E$2/100)/$E$2+Q68,"")</f>
        <v>8243.0733333333319</v>
      </c>
      <c r="F68" s="169">
        <f t="shared" si="18"/>
        <v>6222.7122222222224</v>
      </c>
      <c r="G68" s="169">
        <f t="shared" si="19"/>
        <v>5212.5316666666668</v>
      </c>
      <c r="H68" s="169">
        <f t="shared" si="20"/>
        <v>4606.4233333333332</v>
      </c>
      <c r="I68" s="169">
        <f t="shared" si="21"/>
        <v>4202.3511111111111</v>
      </c>
      <c r="K68" s="171">
        <v>72734</v>
      </c>
      <c r="L68" s="171">
        <v>69604</v>
      </c>
      <c r="M68" s="171">
        <f>71548+60</f>
        <v>71608</v>
      </c>
      <c r="N68" s="171">
        <f>72592+60</f>
        <v>72652</v>
      </c>
      <c r="O68" s="171">
        <f>73534+60</f>
        <v>73594</v>
      </c>
      <c r="P68" s="172">
        <v>3</v>
      </c>
      <c r="Q68" s="173"/>
      <c r="S68" s="173">
        <v>200</v>
      </c>
      <c r="T68" s="173">
        <v>100</v>
      </c>
      <c r="U68" s="174"/>
    </row>
    <row r="69" spans="1:22" s="170" customFormat="1" x14ac:dyDescent="0.25">
      <c r="A69" s="166">
        <v>63900</v>
      </c>
      <c r="B69" s="167" t="s">
        <v>25</v>
      </c>
      <c r="C69" s="168">
        <v>1</v>
      </c>
      <c r="D69" s="169">
        <f>IF(C69&gt;=1,(K69-C69)*(1+P69*$D$2/100)/$D$2+Q69,"")</f>
        <v>13517.49</v>
      </c>
      <c r="E69" s="169">
        <f>IF(C69&gt;=1,(K69-C69)*(1+P69*$E$2/100)/$E$2+Q69,"")</f>
        <v>7789.7399999999989</v>
      </c>
      <c r="F69" s="169">
        <f t="shared" si="18"/>
        <v>5880.4900000000007</v>
      </c>
      <c r="G69" s="169">
        <f t="shared" si="19"/>
        <v>4925.8649999999998</v>
      </c>
      <c r="H69" s="169">
        <f>IF(C69&gt;=1, (K69-C69)*(1+$P69*$H$2/100)/$H$2+Q69, "")</f>
        <v>4353.09</v>
      </c>
      <c r="I69" s="169">
        <f>IF(C69&gt;=1, (K69-C69)*(1+$P69*$I$2/100)/$I$2+Q69, "")</f>
        <v>3971.2400000000002</v>
      </c>
      <c r="K69" s="171">
        <v>68734</v>
      </c>
      <c r="L69" s="171">
        <v>65604</v>
      </c>
      <c r="M69" s="171">
        <f>67548+60</f>
        <v>67608</v>
      </c>
      <c r="N69" s="171">
        <f>68592+60</f>
        <v>68652</v>
      </c>
      <c r="O69" s="171">
        <f>69534+60</f>
        <v>69594</v>
      </c>
      <c r="P69" s="172">
        <v>3</v>
      </c>
      <c r="Q69" s="173"/>
      <c r="S69" s="173">
        <v>200</v>
      </c>
      <c r="T69" s="173">
        <v>100</v>
      </c>
      <c r="U69" s="174"/>
    </row>
    <row r="70" spans="1:22" x14ac:dyDescent="0.25">
      <c r="A70" s="105"/>
      <c r="B70" s="101"/>
      <c r="C70" s="49"/>
      <c r="D70" s="50"/>
      <c r="E70" s="50"/>
      <c r="F70" s="50"/>
      <c r="G70" s="50"/>
      <c r="H70" s="50"/>
      <c r="I70" s="50"/>
      <c r="J70" s="101"/>
      <c r="K70" s="104"/>
      <c r="L70" s="104"/>
      <c r="M70" s="104"/>
      <c r="N70" s="104"/>
      <c r="O70" s="104"/>
      <c r="P70" s="103"/>
      <c r="Q70" s="104"/>
      <c r="R70" s="101"/>
      <c r="S70" s="105"/>
      <c r="T70" s="105"/>
      <c r="U70" s="106"/>
    </row>
    <row r="71" spans="1:22" s="2" customFormat="1" x14ac:dyDescent="0.25">
      <c r="A71" s="15" t="s">
        <v>0</v>
      </c>
      <c r="B71" s="14" t="s">
        <v>47</v>
      </c>
      <c r="C71" s="67" t="s">
        <v>80</v>
      </c>
      <c r="D71" s="15">
        <v>6</v>
      </c>
      <c r="E71" s="13">
        <v>12</v>
      </c>
      <c r="F71" s="13">
        <v>18</v>
      </c>
      <c r="G71" s="13">
        <v>24</v>
      </c>
      <c r="H71" s="13">
        <v>30</v>
      </c>
      <c r="I71" s="13">
        <v>36</v>
      </c>
      <c r="J71" s="1"/>
      <c r="K71" s="13" t="s">
        <v>2</v>
      </c>
      <c r="L71" s="13" t="s">
        <v>1</v>
      </c>
      <c r="M71" s="13" t="s">
        <v>3</v>
      </c>
      <c r="N71" s="13" t="s">
        <v>4</v>
      </c>
      <c r="O71" s="13" t="s">
        <v>5</v>
      </c>
      <c r="P71" s="261" t="s">
        <v>6</v>
      </c>
      <c r="Q71" s="262"/>
      <c r="R71" s="8"/>
      <c r="S71" s="259" t="s">
        <v>7</v>
      </c>
      <c r="T71" s="260"/>
      <c r="U71" s="57" t="s">
        <v>152</v>
      </c>
    </row>
    <row r="72" spans="1:22" ht="15" customHeight="1" x14ac:dyDescent="0.25">
      <c r="A72" s="263" t="s">
        <v>26</v>
      </c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71"/>
    </row>
    <row r="73" spans="1:22" s="180" customFormat="1" ht="13.5" customHeight="1" x14ac:dyDescent="0.25">
      <c r="A73" s="176">
        <v>63200</v>
      </c>
      <c r="B73" s="177" t="s">
        <v>29</v>
      </c>
      <c r="C73" s="178">
        <v>1</v>
      </c>
      <c r="D73" s="179">
        <f t="shared" ref="D73:D90" si="22">IF(C73&gt;=1,(K73-C73)*(1+P73*$D$2/100)/$D$2+Q73,"")</f>
        <v>12243.644966666665</v>
      </c>
      <c r="E73" s="179">
        <f t="shared" ref="E73:E90" si="23">IF(C73&gt;=1,(K73-C73)*(1+P73*$E$2/100)/$E$2+Q73,"")</f>
        <v>6827.0616333333337</v>
      </c>
      <c r="F73" s="179">
        <f t="shared" ref="F73:F87" si="24">IF(C73&gt;=1,(K73-C73)*(1+$P73*$F$2/100)/$F$2+Q73, "")</f>
        <v>5021.5338555555554</v>
      </c>
      <c r="G73" s="179">
        <f t="shared" ref="G73:G87" si="25">IF(C73&gt;=1, (K73-C73)*(1+$P73*$G$2/100)/$G$2+Q73,"")</f>
        <v>4118.7699666666667</v>
      </c>
      <c r="H73" s="179">
        <f t="shared" ref="H73:H87" si="26">IF(C73&gt;=1, (K73-C73)*(1+$P73*$H$2/100)/$H$2+Q73, "")</f>
        <v>3577.111633333333</v>
      </c>
      <c r="I73" s="179">
        <f t="shared" ref="I73:I87" si="27">IF(C73&gt;=1, (K73-C73)*(1+$P73*$I$2/100)/$I$2+Q73, "")</f>
        <v>3216.006077777778</v>
      </c>
      <c r="K73" s="181">
        <v>65000</v>
      </c>
      <c r="L73" s="181">
        <v>63300</v>
      </c>
      <c r="M73" s="181">
        <f>64767+60</f>
        <v>64827</v>
      </c>
      <c r="N73" s="181">
        <f>65334+60</f>
        <v>65394</v>
      </c>
      <c r="O73" s="181">
        <f>65800+60</f>
        <v>65860</v>
      </c>
      <c r="P73" s="182">
        <v>2.17</v>
      </c>
      <c r="Q73" s="183"/>
      <c r="S73" s="183">
        <v>200</v>
      </c>
      <c r="T73" s="183">
        <v>50</v>
      </c>
      <c r="U73" s="184"/>
    </row>
    <row r="74" spans="1:22" ht="13.5" customHeight="1" x14ac:dyDescent="0.25">
      <c r="A74" s="120">
        <v>119800</v>
      </c>
      <c r="B74" s="27" t="s">
        <v>27</v>
      </c>
      <c r="C74" s="22"/>
      <c r="D74" s="23" t="str">
        <f>IF(C74&gt;=1,(K74-C74)*(1+P74*PRICING!$D$4/100)/PRICING!$D$4+Q74,"")</f>
        <v/>
      </c>
      <c r="E74" s="23" t="str">
        <f>IF(C74&gt;=1,(K74-C74)*(1+P74*PRICING!$E$4/100)/PRICING!$E$4+Q74,"")</f>
        <v/>
      </c>
      <c r="F74" s="23" t="str">
        <f>IF(C74&gt;=1,(K74-C74)*(1+$P74*PRICING!$F$4/100)/PRICING!$F$4+Q74, "")</f>
        <v/>
      </c>
      <c r="G74" s="23" t="str">
        <f>IF(C74&gt;=1, (K74-C74)*(1+$P74*PRICING!$G$4/100)/PRICING!$G$4+Q74,"")</f>
        <v/>
      </c>
      <c r="H74" s="23" t="str">
        <f>IF(C74&gt;=1, (K74-C74)*(1+$P74*PRICING!$H$4/100)/PRICING!$H$4+Q74, "")</f>
        <v/>
      </c>
      <c r="I74" s="23" t="str">
        <f>IF(C74&gt;=1, (K74-C74)*(1+$P74*PRICING!$I$4/100)/PRICING!$I$4+Q74, "")</f>
        <v/>
      </c>
      <c r="J74" s="121"/>
      <c r="K74" s="122">
        <v>125790</v>
      </c>
      <c r="L74" s="122">
        <v>119800</v>
      </c>
      <c r="M74" s="115">
        <f>122697+60</f>
        <v>122757</v>
      </c>
      <c r="N74" s="115">
        <f>124694+60</f>
        <v>124754</v>
      </c>
      <c r="O74" s="115">
        <f>126590+60</f>
        <v>126650</v>
      </c>
      <c r="P74" s="123">
        <v>2.17</v>
      </c>
      <c r="Q74" s="124"/>
      <c r="R74" s="121"/>
      <c r="S74" s="125">
        <v>200</v>
      </c>
      <c r="T74" s="125">
        <v>100</v>
      </c>
      <c r="U74" s="126"/>
      <c r="V74" s="126"/>
    </row>
    <row r="75" spans="1:22" s="185" customFormat="1" x14ac:dyDescent="0.25">
      <c r="A75" s="176">
        <v>83400</v>
      </c>
      <c r="B75" s="177" t="s">
        <v>33</v>
      </c>
      <c r="C75" s="178">
        <v>1</v>
      </c>
      <c r="D75" s="179">
        <f t="shared" si="22"/>
        <v>16035.654333333332</v>
      </c>
      <c r="E75" s="179">
        <f t="shared" si="23"/>
        <v>8941.487666666666</v>
      </c>
      <c r="F75" s="179">
        <f t="shared" si="24"/>
        <v>6576.7654444444452</v>
      </c>
      <c r="G75" s="179">
        <f t="shared" si="25"/>
        <v>5394.4043333333329</v>
      </c>
      <c r="H75" s="179">
        <f t="shared" si="26"/>
        <v>4684.987666666666</v>
      </c>
      <c r="I75" s="179">
        <f t="shared" si="27"/>
        <v>4212.0432222222225</v>
      </c>
      <c r="J75" s="180"/>
      <c r="K75" s="181">
        <v>85131</v>
      </c>
      <c r="L75" s="181">
        <v>83400</v>
      </c>
      <c r="M75" s="181">
        <f>84877+60</f>
        <v>84937</v>
      </c>
      <c r="N75" s="181">
        <f>85454+60</f>
        <v>85514</v>
      </c>
      <c r="O75" s="181">
        <f>85931+60</f>
        <v>85991</v>
      </c>
      <c r="P75" s="182">
        <v>2.17</v>
      </c>
      <c r="Q75" s="183"/>
      <c r="R75" s="180"/>
      <c r="S75" s="183">
        <v>200</v>
      </c>
      <c r="T75" s="183">
        <v>50</v>
      </c>
      <c r="U75" s="184"/>
    </row>
    <row r="76" spans="1:22" s="185" customFormat="1" x14ac:dyDescent="0.25">
      <c r="A76" s="186">
        <v>77800</v>
      </c>
      <c r="B76" s="177" t="s">
        <v>34</v>
      </c>
      <c r="C76" s="178">
        <v>1</v>
      </c>
      <c r="D76" s="179">
        <f t="shared" si="22"/>
        <v>15387.484633333332</v>
      </c>
      <c r="E76" s="179">
        <f t="shared" si="23"/>
        <v>8580.0679666666674</v>
      </c>
      <c r="F76" s="179">
        <f t="shared" si="24"/>
        <v>6310.9290777777778</v>
      </c>
      <c r="G76" s="179">
        <f t="shared" si="25"/>
        <v>5176.3596333333326</v>
      </c>
      <c r="H76" s="179">
        <f t="shared" si="26"/>
        <v>4495.6179666666667</v>
      </c>
      <c r="I76" s="179">
        <f t="shared" si="27"/>
        <v>4041.7901888888891</v>
      </c>
      <c r="K76" s="187">
        <v>81690</v>
      </c>
      <c r="L76" s="187">
        <v>77900</v>
      </c>
      <c r="M76" s="181">
        <f>80064+60</f>
        <v>80124</v>
      </c>
      <c r="N76" s="181">
        <f>81328+60</f>
        <v>81388</v>
      </c>
      <c r="O76" s="181">
        <f>82490+60</f>
        <v>82550</v>
      </c>
      <c r="P76" s="188">
        <v>2.17</v>
      </c>
      <c r="Q76" s="189"/>
      <c r="S76" s="189">
        <v>200</v>
      </c>
      <c r="T76" s="189">
        <v>100</v>
      </c>
      <c r="U76" s="190"/>
    </row>
    <row r="77" spans="1:22" s="185" customFormat="1" x14ac:dyDescent="0.25">
      <c r="A77" s="186">
        <v>84900</v>
      </c>
      <c r="B77" s="177" t="s">
        <v>93</v>
      </c>
      <c r="C77" s="178">
        <v>1</v>
      </c>
      <c r="D77" s="179">
        <f t="shared" si="22"/>
        <v>16298.237466666666</v>
      </c>
      <c r="E77" s="179">
        <f t="shared" si="23"/>
        <v>9087.9041333333334</v>
      </c>
      <c r="F77" s="179">
        <f t="shared" si="24"/>
        <v>6684.4596888888891</v>
      </c>
      <c r="G77" s="179">
        <f t="shared" si="25"/>
        <v>5482.7374666666665</v>
      </c>
      <c r="H77" s="179">
        <f t="shared" si="26"/>
        <v>4761.7041333333327</v>
      </c>
      <c r="I77" s="179">
        <f t="shared" si="27"/>
        <v>4281.0152444444448</v>
      </c>
      <c r="K77" s="187">
        <v>86525</v>
      </c>
      <c r="L77" s="187">
        <v>84900</v>
      </c>
      <c r="M77" s="181">
        <v>86401</v>
      </c>
      <c r="N77" s="181">
        <v>86942</v>
      </c>
      <c r="O77" s="181">
        <v>87385</v>
      </c>
      <c r="P77" s="188">
        <v>2.17</v>
      </c>
      <c r="Q77" s="189"/>
      <c r="S77" s="189">
        <v>200</v>
      </c>
      <c r="T77" s="189">
        <v>50</v>
      </c>
      <c r="U77" s="190"/>
    </row>
    <row r="78" spans="1:22" s="180" customFormat="1" x14ac:dyDescent="0.25">
      <c r="A78" s="176">
        <v>75800</v>
      </c>
      <c r="B78" s="177" t="s">
        <v>35</v>
      </c>
      <c r="C78" s="178">
        <v>1</v>
      </c>
      <c r="D78" s="179">
        <f t="shared" si="22"/>
        <v>15010.751299999998</v>
      </c>
      <c r="E78" s="179">
        <f t="shared" si="23"/>
        <v>8370.0012999999999</v>
      </c>
      <c r="F78" s="179">
        <f t="shared" si="24"/>
        <v>6156.4179666666669</v>
      </c>
      <c r="G78" s="179">
        <f t="shared" si="25"/>
        <v>5049.6262999999999</v>
      </c>
      <c r="H78" s="179">
        <f t="shared" si="26"/>
        <v>4385.5513000000001</v>
      </c>
      <c r="I78" s="179">
        <f t="shared" si="27"/>
        <v>3942.8346333333338</v>
      </c>
      <c r="K78" s="181">
        <v>79690</v>
      </c>
      <c r="L78" s="181">
        <v>75900</v>
      </c>
      <c r="M78" s="181">
        <f>78064+60</f>
        <v>78124</v>
      </c>
      <c r="N78" s="181">
        <f>79328+60</f>
        <v>79388</v>
      </c>
      <c r="O78" s="181">
        <f>80490+60</f>
        <v>80550</v>
      </c>
      <c r="P78" s="182">
        <v>2.17</v>
      </c>
      <c r="Q78" s="183"/>
      <c r="S78" s="183">
        <v>200</v>
      </c>
      <c r="T78" s="183">
        <v>100</v>
      </c>
      <c r="U78" s="184"/>
    </row>
    <row r="79" spans="1:22" s="185" customFormat="1" x14ac:dyDescent="0.25">
      <c r="A79" s="186">
        <v>74900</v>
      </c>
      <c r="B79" s="177" t="s">
        <v>36</v>
      </c>
      <c r="C79" s="178">
        <v>1</v>
      </c>
      <c r="D79" s="179">
        <f t="shared" si="22"/>
        <v>14334.514966666664</v>
      </c>
      <c r="E79" s="179">
        <f t="shared" si="23"/>
        <v>7992.9316333333336</v>
      </c>
      <c r="F79" s="179">
        <f t="shared" si="24"/>
        <v>5879.0705222222223</v>
      </c>
      <c r="G79" s="179">
        <f t="shared" si="25"/>
        <v>4822.1399666666666</v>
      </c>
      <c r="H79" s="179">
        <f t="shared" si="26"/>
        <v>4187.9816333333329</v>
      </c>
      <c r="I79" s="179">
        <f t="shared" si="27"/>
        <v>3765.2094111111114</v>
      </c>
      <c r="K79" s="187">
        <f>75100+1000</f>
        <v>76100</v>
      </c>
      <c r="L79" s="187">
        <v>74800</v>
      </c>
      <c r="M79" s="181">
        <f>76134+60</f>
        <v>76194</v>
      </c>
      <c r="N79" s="181">
        <f>76568+60</f>
        <v>76628</v>
      </c>
      <c r="O79" s="181">
        <f>76900+60</f>
        <v>76960</v>
      </c>
      <c r="P79" s="188">
        <v>2.17</v>
      </c>
      <c r="Q79" s="189"/>
      <c r="S79" s="189">
        <v>200</v>
      </c>
      <c r="T79" s="189">
        <v>50</v>
      </c>
      <c r="U79" s="190"/>
    </row>
    <row r="80" spans="1:22" s="180" customFormat="1" x14ac:dyDescent="0.25">
      <c r="A80" s="186">
        <v>78900</v>
      </c>
      <c r="B80" s="177" t="s">
        <v>45</v>
      </c>
      <c r="C80" s="178">
        <v>1</v>
      </c>
      <c r="D80" s="179">
        <f t="shared" si="22"/>
        <v>15087.981633333331</v>
      </c>
      <c r="E80" s="179">
        <f t="shared" si="23"/>
        <v>8413.0649666666668</v>
      </c>
      <c r="F80" s="179">
        <f t="shared" si="24"/>
        <v>6188.0927444444442</v>
      </c>
      <c r="G80" s="179">
        <f t="shared" si="25"/>
        <v>5075.6066333333329</v>
      </c>
      <c r="H80" s="179">
        <f t="shared" si="26"/>
        <v>4408.1149666666661</v>
      </c>
      <c r="I80" s="179">
        <f t="shared" si="27"/>
        <v>3963.120522222222</v>
      </c>
      <c r="J80" s="185"/>
      <c r="K80" s="187">
        <v>80100</v>
      </c>
      <c r="L80" s="187">
        <v>78800</v>
      </c>
      <c r="M80" s="181">
        <f>80134+60</f>
        <v>80194</v>
      </c>
      <c r="N80" s="181">
        <f>80568+60</f>
        <v>80628</v>
      </c>
      <c r="O80" s="181">
        <f>80900+60</f>
        <v>80960</v>
      </c>
      <c r="P80" s="188">
        <v>2.17</v>
      </c>
      <c r="Q80" s="189"/>
      <c r="R80" s="185"/>
      <c r="S80" s="189">
        <v>200</v>
      </c>
      <c r="T80" s="189">
        <v>50</v>
      </c>
      <c r="U80" s="190"/>
    </row>
    <row r="81" spans="1:22" s="185" customFormat="1" x14ac:dyDescent="0.25">
      <c r="A81" s="176">
        <v>86900</v>
      </c>
      <c r="B81" s="177" t="s">
        <v>46</v>
      </c>
      <c r="C81" s="178">
        <v>1</v>
      </c>
      <c r="D81" s="179">
        <f t="shared" si="22"/>
        <v>16694.937666666665</v>
      </c>
      <c r="E81" s="179">
        <f t="shared" si="23"/>
        <v>9309.1043333333328</v>
      </c>
      <c r="F81" s="179">
        <f t="shared" si="24"/>
        <v>6847.1598888888893</v>
      </c>
      <c r="G81" s="179">
        <f t="shared" si="25"/>
        <v>5616.1876666666658</v>
      </c>
      <c r="H81" s="179">
        <f t="shared" si="26"/>
        <v>4877.6043333333328</v>
      </c>
      <c r="I81" s="179">
        <f t="shared" si="27"/>
        <v>4385.215444444445</v>
      </c>
      <c r="J81" s="180"/>
      <c r="K81" s="181">
        <v>88631</v>
      </c>
      <c r="L81" s="181">
        <v>86900</v>
      </c>
      <c r="M81" s="181">
        <f>88437</f>
        <v>88437</v>
      </c>
      <c r="N81" s="181">
        <f>89014</f>
        <v>89014</v>
      </c>
      <c r="O81" s="181">
        <f>89491</f>
        <v>89491</v>
      </c>
      <c r="P81" s="182">
        <v>2.17</v>
      </c>
      <c r="Q81" s="191"/>
      <c r="R81" s="180"/>
      <c r="S81" s="183">
        <v>200</v>
      </c>
      <c r="T81" s="183">
        <v>50</v>
      </c>
      <c r="U81" s="184"/>
    </row>
    <row r="82" spans="1:22" s="180" customFormat="1" x14ac:dyDescent="0.25">
      <c r="A82" s="186">
        <v>79200</v>
      </c>
      <c r="B82" s="177" t="s">
        <v>38</v>
      </c>
      <c r="C82" s="178">
        <v>1</v>
      </c>
      <c r="D82" s="179">
        <f t="shared" si="22"/>
        <v>15087.981633333331</v>
      </c>
      <c r="E82" s="179">
        <f t="shared" si="23"/>
        <v>8413.0649666666668</v>
      </c>
      <c r="F82" s="179">
        <f t="shared" si="24"/>
        <v>6188.0927444444442</v>
      </c>
      <c r="G82" s="179">
        <f t="shared" si="25"/>
        <v>5075.6066333333329</v>
      </c>
      <c r="H82" s="179">
        <f t="shared" si="26"/>
        <v>4408.1149666666661</v>
      </c>
      <c r="I82" s="179">
        <f t="shared" si="27"/>
        <v>3963.120522222222</v>
      </c>
      <c r="J82" s="185"/>
      <c r="K82" s="187">
        <v>80100</v>
      </c>
      <c r="L82" s="187">
        <v>78700</v>
      </c>
      <c r="M82" s="181">
        <f>80067+60</f>
        <v>80127</v>
      </c>
      <c r="N82" s="181">
        <f>80534+60</f>
        <v>80594</v>
      </c>
      <c r="O82" s="181">
        <f>80900+60</f>
        <v>80960</v>
      </c>
      <c r="P82" s="188">
        <v>2.17</v>
      </c>
      <c r="Q82" s="189"/>
      <c r="R82" s="185"/>
      <c r="S82" s="189">
        <v>200</v>
      </c>
      <c r="T82" s="189">
        <v>50</v>
      </c>
      <c r="U82" s="190"/>
    </row>
    <row r="83" spans="1:22" s="128" customFormat="1" x14ac:dyDescent="0.25">
      <c r="A83" s="120">
        <v>68200</v>
      </c>
      <c r="B83" s="27" t="s">
        <v>44</v>
      </c>
      <c r="C83" s="178">
        <v>1</v>
      </c>
      <c r="D83" s="23">
        <f>IF(C83&gt;=1,(K83-C83)*(1+P83*PRICING!$D$4/100)/PRICING!$D$4+Q83,"")</f>
        <v>13447.684699999998</v>
      </c>
      <c r="E83" s="23">
        <f>IF(C83&gt;=1,(K83-C83)*(1+P83*PRICING!$E$4/100)/PRICING!$E$4+Q83,"")</f>
        <v>7498.4346999999989</v>
      </c>
      <c r="F83" s="23">
        <f>IF(C83&gt;=1,(K83-C83)*(1+$P83*PRICING!$F$4/100)/PRICING!$F$4+Q83, "")</f>
        <v>5515.3513666666668</v>
      </c>
      <c r="G83" s="23">
        <f>IF(C83&gt;=1, (K83-C83)*(1+$P83*PRICING!$G$4/100)/PRICING!$G$4+Q83,"")</f>
        <v>4523.8096999999998</v>
      </c>
      <c r="H83" s="23">
        <f>IF(C83&gt;=1, (K83-C83)*(1+$P83*PRICING!$H$4/100)/PRICING!$H$4+Q83, "")</f>
        <v>3928.8846999999996</v>
      </c>
      <c r="I83" s="23">
        <f>IF(C83&gt;=1, (K83-C83)*(1+$P83*PRICING!$I$4/100)/PRICING!$I$4+Q83, "")</f>
        <v>3532.2680333333337</v>
      </c>
      <c r="J83" s="121"/>
      <c r="K83" s="122">
        <v>71392</v>
      </c>
      <c r="L83" s="122">
        <v>70300</v>
      </c>
      <c r="M83" s="115">
        <f>71564+60</f>
        <v>71624</v>
      </c>
      <c r="N83" s="115">
        <f>71928+60</f>
        <v>71988</v>
      </c>
      <c r="O83" s="115">
        <f>72192+60</f>
        <v>72252</v>
      </c>
      <c r="P83" s="123">
        <v>2.17</v>
      </c>
      <c r="Q83" s="124"/>
      <c r="R83" s="121"/>
      <c r="S83" s="125">
        <v>200</v>
      </c>
      <c r="T83" s="125">
        <v>50</v>
      </c>
      <c r="U83" s="126"/>
      <c r="V83" s="126"/>
    </row>
    <row r="84" spans="1:22" x14ac:dyDescent="0.25">
      <c r="A84" s="113">
        <v>71800</v>
      </c>
      <c r="B84" s="27" t="s">
        <v>39</v>
      </c>
      <c r="C84" s="178">
        <v>1</v>
      </c>
      <c r="D84" s="23">
        <f>IF(C84&gt;=1,(K84-C84)*(1+P84*PRICING!$D$4/100)/PRICING!$D$4+Q84,"")</f>
        <v>13844.761633333334</v>
      </c>
      <c r="E84" s="23">
        <f>IF(C84&gt;=1,(K84-C84)*(1+P84*PRICING!$E$4/100)/PRICING!$E$4+Q84,"")</f>
        <v>7719.8449666666666</v>
      </c>
      <c r="F84" s="23">
        <f>IF(C84&gt;=1,(K84-C84)*(1+$P84*PRICING!$F$4/100)/PRICING!$F$4+Q84, "")</f>
        <v>5678.2060777777779</v>
      </c>
      <c r="G84" s="23">
        <f>IF(C84&gt;=1, (K84-C84)*(1+$P84*PRICING!$G$4/100)/PRICING!$G$4+Q84,"")</f>
        <v>4657.3866333333326</v>
      </c>
      <c r="H84" s="23">
        <f>IF(C84&gt;=1, (K84-C84)*(1+$P84*PRICING!$H$4/100)/PRICING!$H$4+Q84, "")</f>
        <v>4044.8949666666663</v>
      </c>
      <c r="I84" s="23">
        <f>IF(C84&gt;=1, (K84-C84)*(1+$P84*PRICING!$I$4/100)/PRICING!$I$4+Q84, "")</f>
        <v>3636.5671888888892</v>
      </c>
      <c r="J84" s="114"/>
      <c r="K84" s="115">
        <v>73500</v>
      </c>
      <c r="L84" s="115">
        <v>71700</v>
      </c>
      <c r="M84" s="115">
        <f>73200+60</f>
        <v>73260</v>
      </c>
      <c r="N84" s="115">
        <f>73800+60</f>
        <v>73860</v>
      </c>
      <c r="O84" s="115">
        <f>74300+60</f>
        <v>74360</v>
      </c>
      <c r="P84" s="116">
        <v>2.17</v>
      </c>
      <c r="Q84" s="117"/>
      <c r="R84" s="114"/>
      <c r="S84" s="118">
        <v>200</v>
      </c>
      <c r="T84" s="118">
        <v>50</v>
      </c>
      <c r="U84" s="119"/>
      <c r="V84" s="119"/>
    </row>
    <row r="85" spans="1:22" s="185" customFormat="1" x14ac:dyDescent="0.25">
      <c r="A85" s="176">
        <v>94200</v>
      </c>
      <c r="B85" s="177" t="s">
        <v>37</v>
      </c>
      <c r="C85" s="178">
        <v>1</v>
      </c>
      <c r="D85" s="179">
        <f t="shared" si="22"/>
        <v>18045.338299999999</v>
      </c>
      <c r="E85" s="179">
        <f t="shared" si="23"/>
        <v>10062.088299999999</v>
      </c>
      <c r="F85" s="179">
        <f t="shared" si="24"/>
        <v>7401.0049666666664</v>
      </c>
      <c r="G85" s="179">
        <f t="shared" si="25"/>
        <v>6070.4632999999994</v>
      </c>
      <c r="H85" s="179">
        <f t="shared" si="26"/>
        <v>5272.1382999999996</v>
      </c>
      <c r="I85" s="179">
        <f t="shared" si="27"/>
        <v>4739.9216333333343</v>
      </c>
      <c r="J85" s="180"/>
      <c r="K85" s="181">
        <v>95800</v>
      </c>
      <c r="L85" s="181">
        <v>93100</v>
      </c>
      <c r="M85" s="181">
        <v>94960</v>
      </c>
      <c r="N85" s="181">
        <v>95860</v>
      </c>
      <c r="O85" s="181">
        <v>96660</v>
      </c>
      <c r="P85" s="182">
        <v>2.17</v>
      </c>
      <c r="Q85" s="183"/>
      <c r="R85" s="180"/>
      <c r="S85" s="183">
        <v>200</v>
      </c>
      <c r="T85" s="183">
        <v>50</v>
      </c>
      <c r="U85" s="184"/>
    </row>
    <row r="86" spans="1:22" s="185" customFormat="1" x14ac:dyDescent="0.25">
      <c r="A86" s="186">
        <v>66900</v>
      </c>
      <c r="B86" s="177" t="s">
        <v>28</v>
      </c>
      <c r="C86" s="178">
        <v>1</v>
      </c>
      <c r="D86" s="179">
        <f t="shared" si="22"/>
        <v>13136.69133333333</v>
      </c>
      <c r="E86" s="179">
        <f t="shared" si="23"/>
        <v>7325.0246666666671</v>
      </c>
      <c r="F86" s="179">
        <f t="shared" si="24"/>
        <v>5387.8024444444445</v>
      </c>
      <c r="G86" s="179">
        <f t="shared" si="25"/>
        <v>4419.1913333333332</v>
      </c>
      <c r="H86" s="179">
        <f t="shared" si="26"/>
        <v>3838.0246666666662</v>
      </c>
      <c r="I86" s="179">
        <f t="shared" si="27"/>
        <v>3450.5802222222223</v>
      </c>
      <c r="K86" s="187">
        <v>69741</v>
      </c>
      <c r="L86" s="187">
        <v>68764</v>
      </c>
      <c r="M86" s="181">
        <f>69989+60</f>
        <v>70049</v>
      </c>
      <c r="N86" s="181">
        <f>70314+60</f>
        <v>70374</v>
      </c>
      <c r="O86" s="181">
        <f>70541+60</f>
        <v>70601</v>
      </c>
      <c r="P86" s="188">
        <v>2.17</v>
      </c>
      <c r="Q86" s="189"/>
      <c r="S86" s="189">
        <v>200</v>
      </c>
      <c r="T86" s="183">
        <v>50</v>
      </c>
      <c r="U86" s="184"/>
    </row>
    <row r="87" spans="1:22" s="185" customFormat="1" x14ac:dyDescent="0.25">
      <c r="A87" s="186">
        <v>68900</v>
      </c>
      <c r="B87" s="177" t="s">
        <v>104</v>
      </c>
      <c r="C87" s="178">
        <v>1</v>
      </c>
      <c r="D87" s="179">
        <f t="shared" si="22"/>
        <v>13513.424666666666</v>
      </c>
      <c r="E87" s="179">
        <f t="shared" si="23"/>
        <v>7535.0913333333328</v>
      </c>
      <c r="F87" s="179">
        <f t="shared" si="24"/>
        <v>5542.3135555555555</v>
      </c>
      <c r="G87" s="179">
        <f t="shared" si="25"/>
        <v>4545.9246666666668</v>
      </c>
      <c r="H87" s="179">
        <f t="shared" si="26"/>
        <v>3948.0913333333328</v>
      </c>
      <c r="I87" s="179">
        <f t="shared" si="27"/>
        <v>3549.5357777777781</v>
      </c>
      <c r="K87" s="187">
        <v>71741</v>
      </c>
      <c r="L87" s="187">
        <v>70764</v>
      </c>
      <c r="M87" s="181">
        <v>72049</v>
      </c>
      <c r="N87" s="181">
        <v>72374</v>
      </c>
      <c r="O87" s="181">
        <v>72601</v>
      </c>
      <c r="P87" s="188">
        <v>2.17</v>
      </c>
      <c r="Q87" s="189"/>
      <c r="S87" s="189">
        <v>200</v>
      </c>
      <c r="T87" s="183">
        <v>50</v>
      </c>
      <c r="U87" s="184"/>
    </row>
    <row r="88" spans="1:22" ht="14.25" x14ac:dyDescent="0.25">
      <c r="A88" s="131"/>
      <c r="C88" s="9"/>
      <c r="D88" s="9"/>
      <c r="E88" s="7" t="str">
        <f t="shared" si="23"/>
        <v/>
      </c>
      <c r="F88" s="3"/>
      <c r="G88" s="3"/>
      <c r="H88" s="3"/>
      <c r="I88" s="3"/>
      <c r="J88" s="4"/>
      <c r="K88" s="3"/>
      <c r="L88" s="3"/>
      <c r="M88" s="3"/>
      <c r="N88" s="3"/>
      <c r="O88" s="3"/>
      <c r="P88" s="69"/>
      <c r="Q88" s="2"/>
      <c r="R88" s="4"/>
      <c r="S88" s="2"/>
      <c r="T88" s="2"/>
      <c r="U88" s="70"/>
    </row>
    <row r="89" spans="1:22" ht="12" customHeight="1" x14ac:dyDescent="0.25">
      <c r="A89" s="132"/>
      <c r="B89" s="133" t="s">
        <v>40</v>
      </c>
      <c r="C89" s="10"/>
      <c r="D89" s="24" t="str">
        <f t="shared" si="22"/>
        <v/>
      </c>
      <c r="E89" s="12" t="str">
        <f t="shared" si="23"/>
        <v/>
      </c>
      <c r="F89" s="11"/>
      <c r="G89" s="11"/>
      <c r="H89" s="11"/>
      <c r="I89" s="11"/>
      <c r="J89" s="134"/>
      <c r="K89" s="135"/>
      <c r="L89" s="135"/>
      <c r="M89" s="135"/>
      <c r="N89" s="135"/>
      <c r="O89" s="135"/>
      <c r="P89" s="136"/>
      <c r="Q89" s="137"/>
      <c r="R89" s="134"/>
      <c r="S89" s="137"/>
      <c r="T89" s="137"/>
      <c r="U89" s="138"/>
    </row>
    <row r="90" spans="1:22" ht="13.5" customHeight="1" x14ac:dyDescent="0.25">
      <c r="A90" s="139"/>
      <c r="B90" s="140" t="s">
        <v>95</v>
      </c>
      <c r="C90" s="25"/>
      <c r="D90" s="26" t="str">
        <f t="shared" si="22"/>
        <v/>
      </c>
      <c r="E90" s="26" t="str">
        <f t="shared" si="23"/>
        <v/>
      </c>
      <c r="F90" s="26" t="str">
        <f>IF(C90&gt;=1,(K90-C90)*(1+$P90*$F$2/100)/$F$2+Q90, "")</f>
        <v/>
      </c>
      <c r="G90" s="26" t="str">
        <f>IF(C90&gt;=1, (K90-C90)*(1+$P90*$G$2/100)/$G$2+Q90,"")</f>
        <v/>
      </c>
      <c r="H90" s="26" t="str">
        <f>IF(C90&gt;=1, (K90-C90)*(1+$P90*$H$2/100)/$H$2+Q90, "")</f>
        <v/>
      </c>
      <c r="I90" s="26" t="str">
        <f>IF(C90&gt;=1, (K90-C90)*(1+$P90*$I$2/100)/$I$2+Q90, "")</f>
        <v/>
      </c>
      <c r="J90" s="141"/>
      <c r="K90" s="142">
        <v>68000</v>
      </c>
      <c r="L90" s="142">
        <v>65000</v>
      </c>
      <c r="M90" s="142">
        <f>66900+60</f>
        <v>66960</v>
      </c>
      <c r="N90" s="142">
        <f>67900+60</f>
        <v>67960</v>
      </c>
      <c r="O90" s="142">
        <f>68800+60</f>
        <v>68860</v>
      </c>
      <c r="P90" s="143">
        <v>2.5</v>
      </c>
      <c r="Q90" s="144"/>
      <c r="R90" s="141"/>
      <c r="S90" s="144">
        <v>500</v>
      </c>
      <c r="T90" s="144">
        <v>100</v>
      </c>
      <c r="U90" s="145"/>
    </row>
    <row r="91" spans="1:22" x14ac:dyDescent="0.25">
      <c r="A91" s="139"/>
      <c r="B91" s="140" t="s">
        <v>96</v>
      </c>
      <c r="C91" s="25"/>
      <c r="D91" s="26" t="str">
        <f>IF(C91&gt;=1, (K91-C91)*(1+$P91*$D$2/100)/$D$2+Q91, "")</f>
        <v/>
      </c>
      <c r="E91" s="26" t="str">
        <f>IF(C91&gt;=1, (K91-C91)*(1+$P91*$E$2/100)/$E$2+Q91, "")</f>
        <v/>
      </c>
      <c r="F91" s="26" t="str">
        <f>IF(C91&gt;=1, (K91-C91)*(1+$P91*$F$2/100)/$F$2+Q91, "")</f>
        <v/>
      </c>
      <c r="G91" s="26" t="str">
        <f>IF(C91&gt;=1, (K91-C91)*(1+$P91*$G$2/100)/$G$2+Q91,"")</f>
        <v/>
      </c>
      <c r="H91" s="26" t="str">
        <f>IF(C91&gt;=1, (K91-C91)*(1+$P91*$H$2/100)/$H$2+Q91, "")</f>
        <v/>
      </c>
      <c r="I91" s="26" t="str">
        <f>IF(C91&gt;=1, (K91-C91)*(1+$P91*$I$2/100)/$I$2+Q91, "")</f>
        <v/>
      </c>
      <c r="J91" s="141"/>
      <c r="K91" s="142">
        <v>118000</v>
      </c>
      <c r="L91" s="142">
        <v>106200</v>
      </c>
      <c r="M91" s="142">
        <v>111093</v>
      </c>
      <c r="N91" s="142">
        <v>115026</v>
      </c>
      <c r="O91" s="142">
        <v>118860</v>
      </c>
      <c r="P91" s="143">
        <v>2.2999999999999998</v>
      </c>
      <c r="Q91" s="144"/>
      <c r="R91" s="141"/>
      <c r="S91" s="144">
        <v>250</v>
      </c>
      <c r="T91" s="144">
        <v>100</v>
      </c>
      <c r="U91" s="145"/>
    </row>
    <row r="92" spans="1:22" x14ac:dyDescent="0.25">
      <c r="A92" s="3"/>
      <c r="C92" s="5"/>
      <c r="D92" s="3"/>
      <c r="E92" s="3"/>
      <c r="F92" s="3"/>
      <c r="G92" s="3"/>
      <c r="H92" s="3"/>
      <c r="I92" s="3"/>
      <c r="M92" s="3"/>
      <c r="N92" s="3"/>
      <c r="O92" s="3"/>
      <c r="Q92" s="2"/>
      <c r="S92" s="2"/>
      <c r="T92" s="2"/>
      <c r="U92" s="70"/>
    </row>
    <row r="93" spans="1:22" x14ac:dyDescent="0.25">
      <c r="A93" s="3"/>
      <c r="C93" s="146" t="s">
        <v>41</v>
      </c>
      <c r="D93" s="147">
        <v>6</v>
      </c>
      <c r="E93" s="146">
        <v>12</v>
      </c>
      <c r="F93" s="146">
        <v>18</v>
      </c>
      <c r="G93" s="146">
        <v>24</v>
      </c>
      <c r="H93" s="146">
        <v>30</v>
      </c>
      <c r="I93" s="146">
        <v>36</v>
      </c>
      <c r="J93" s="4"/>
      <c r="P93" s="4"/>
      <c r="Q93" s="2"/>
    </row>
    <row r="94" spans="1:22" x14ac:dyDescent="0.25">
      <c r="C94" s="148">
        <v>2.17</v>
      </c>
      <c r="D94" s="148">
        <f>1+C94*$D$93/100</f>
        <v>1.1301999999999999</v>
      </c>
      <c r="E94" s="148">
        <f>1+C94*$E$93/100</f>
        <v>1.2604</v>
      </c>
      <c r="F94" s="148">
        <f>1+C94*$F$93/100</f>
        <v>1.3906000000000001</v>
      </c>
      <c r="G94" s="148">
        <f>1+C94*$G$93/100</f>
        <v>1.5207999999999999</v>
      </c>
      <c r="H94" s="148">
        <f>1+C94*$H$93/100</f>
        <v>1.6509999999999998</v>
      </c>
      <c r="I94" s="148">
        <f>1+C94*$I$93/100</f>
        <v>1.7812000000000001</v>
      </c>
      <c r="J94" s="4"/>
      <c r="P94" s="4"/>
      <c r="Q94" s="2"/>
    </row>
    <row r="95" spans="1:22" x14ac:dyDescent="0.25">
      <c r="C95" s="148">
        <v>2.2999999999999998</v>
      </c>
      <c r="D95" s="148">
        <f>1+C95*$D$93/100</f>
        <v>1.1379999999999999</v>
      </c>
      <c r="E95" s="148">
        <f>1+C95*$E$93/100</f>
        <v>1.276</v>
      </c>
      <c r="F95" s="148">
        <f>1+C95*$F$93/100</f>
        <v>1.4139999999999999</v>
      </c>
      <c r="G95" s="148">
        <f>1+C95*$G$93/100</f>
        <v>1.552</v>
      </c>
      <c r="H95" s="148">
        <f>1+C95*$H$93/100</f>
        <v>1.69</v>
      </c>
      <c r="I95" s="148">
        <f>1+C95*$I$93/100</f>
        <v>1.8279999999999998</v>
      </c>
      <c r="J95" s="4"/>
      <c r="P95" s="4"/>
      <c r="Q95" s="2"/>
    </row>
    <row r="96" spans="1:22" x14ac:dyDescent="0.25">
      <c r="C96" s="148">
        <v>2.5</v>
      </c>
      <c r="D96" s="148">
        <f>1+C96*$D$93/100</f>
        <v>1.1499999999999999</v>
      </c>
      <c r="E96" s="148">
        <f>1+C96*$E$93/100</f>
        <v>1.3</v>
      </c>
      <c r="F96" s="148">
        <f>1+C96*$F$93/100</f>
        <v>1.45</v>
      </c>
      <c r="G96" s="148">
        <f>1+C96*$G$93/100</f>
        <v>1.6</v>
      </c>
      <c r="H96" s="148">
        <f>1+C96*$H$93/100</f>
        <v>1.75</v>
      </c>
      <c r="I96" s="148">
        <f>1+C96*$I$93/100</f>
        <v>1.9</v>
      </c>
      <c r="J96" s="4"/>
      <c r="P96" s="4"/>
      <c r="Q96" s="2"/>
    </row>
    <row r="97" spans="3:21" x14ac:dyDescent="0.25">
      <c r="C97" s="148">
        <v>3</v>
      </c>
      <c r="D97" s="148">
        <f>1+C97*$D$93/100</f>
        <v>1.18</v>
      </c>
      <c r="E97" s="148">
        <f>1+C97*$E$93/100</f>
        <v>1.3599999999999999</v>
      </c>
      <c r="F97" s="148">
        <f>1+C97*$F$93/100</f>
        <v>1.54</v>
      </c>
      <c r="G97" s="148">
        <f>1+C97*$G$93/100</f>
        <v>1.72</v>
      </c>
      <c r="H97" s="148">
        <f>1+C97*$H$93/100</f>
        <v>1.9</v>
      </c>
      <c r="I97" s="148">
        <f>1+C97*$I$93/100</f>
        <v>2.08</v>
      </c>
      <c r="J97" s="4"/>
      <c r="P97" s="4"/>
      <c r="Q97" s="2"/>
    </row>
    <row r="98" spans="3:21" x14ac:dyDescent="0.25">
      <c r="C98" s="148">
        <v>3.25</v>
      </c>
      <c r="D98" s="148">
        <f>1+C98*$D$93/100</f>
        <v>1.1950000000000001</v>
      </c>
      <c r="E98" s="148">
        <f>1+C98*$E$93/100</f>
        <v>1.3900000000000001</v>
      </c>
      <c r="F98" s="148">
        <f>1+C98*$F$93/100</f>
        <v>1.585</v>
      </c>
      <c r="G98" s="148">
        <f>1+C98*$G$93/100</f>
        <v>1.78</v>
      </c>
      <c r="H98" s="148">
        <f>1+C98*$H$93/100</f>
        <v>1.9750000000000001</v>
      </c>
      <c r="I98" s="148">
        <f>1+C98*$I$93/100</f>
        <v>2.17</v>
      </c>
      <c r="J98" s="4"/>
      <c r="P98" s="4"/>
      <c r="Q98" s="2"/>
    </row>
    <row r="99" spans="3:21" x14ac:dyDescent="0.25">
      <c r="C99" s="5"/>
      <c r="D99" s="3"/>
      <c r="E99" s="3"/>
      <c r="F99" s="3"/>
      <c r="G99" s="3"/>
      <c r="H99" s="3"/>
      <c r="I99" s="3"/>
      <c r="K99" s="3"/>
      <c r="L99" s="3"/>
      <c r="M99" s="3"/>
      <c r="N99" s="3"/>
      <c r="O99" s="3"/>
      <c r="P99" s="69"/>
      <c r="Q99" s="2"/>
      <c r="S99" s="2"/>
      <c r="T99" s="2"/>
      <c r="U99" s="70"/>
    </row>
    <row r="100" spans="3:21" x14ac:dyDescent="0.25">
      <c r="C100" s="5"/>
      <c r="D100" s="3"/>
      <c r="E100" s="3"/>
      <c r="F100" s="3"/>
      <c r="G100" s="3"/>
      <c r="H100" s="3"/>
      <c r="I100" s="3"/>
      <c r="Q100" s="4"/>
    </row>
    <row r="101" spans="3:21" x14ac:dyDescent="0.25">
      <c r="C101" s="5"/>
      <c r="D101" s="3"/>
      <c r="E101" s="3"/>
      <c r="F101" s="3"/>
      <c r="G101" s="3"/>
      <c r="H101" s="3"/>
      <c r="I101" s="3"/>
      <c r="Q101" s="4"/>
    </row>
    <row r="102" spans="3:21" x14ac:dyDescent="0.25">
      <c r="C102" s="5"/>
      <c r="D102" s="3"/>
      <c r="E102" s="3"/>
      <c r="F102" s="3"/>
      <c r="G102" s="3"/>
      <c r="H102" s="3"/>
      <c r="I102" s="3"/>
      <c r="Q102" s="4"/>
    </row>
    <row r="103" spans="3:21" x14ac:dyDescent="0.25">
      <c r="C103" s="5"/>
      <c r="D103" s="3"/>
      <c r="E103" s="3"/>
      <c r="F103" s="3"/>
      <c r="G103" s="3"/>
      <c r="H103" s="3"/>
      <c r="I103" s="3"/>
    </row>
    <row r="104" spans="3:21" x14ac:dyDescent="0.25">
      <c r="C104" s="5"/>
      <c r="D104" s="3"/>
      <c r="E104" s="3"/>
      <c r="F104" s="3"/>
      <c r="G104" s="3"/>
      <c r="H104" s="3"/>
      <c r="I104" s="3"/>
    </row>
    <row r="107" spans="3:21" x14ac:dyDescent="0.25">
      <c r="J107" s="4"/>
      <c r="P107" s="4"/>
      <c r="Q107" s="4"/>
      <c r="R107" s="4"/>
      <c r="U107" s="149"/>
    </row>
    <row r="108" spans="3:21" x14ac:dyDescent="0.25">
      <c r="J108" s="4"/>
      <c r="P108" s="4"/>
      <c r="Q108" s="4"/>
      <c r="R108" s="4"/>
      <c r="U108" s="149"/>
    </row>
    <row r="109" spans="3:21" x14ac:dyDescent="0.25">
      <c r="J109" s="4"/>
      <c r="P109" s="4"/>
      <c r="Q109" s="4"/>
      <c r="R109" s="4"/>
      <c r="U109" s="149"/>
    </row>
  </sheetData>
  <sheetProtection algorithmName="SHA-512" hashValue="ITZAHOXpK0d2GqWQ4spS4ZmcFdbnkNkkxUlCQK5gU7DfrdXLyZSRA4qlYmYo0fZzfA3u8c/LzfLaw2l5x8kBhA==" saltValue="x4OvUWyaGPSgd+rWpnRpuA==" spinCount="100000" sheet="1" objects="1" scenarios="1"/>
  <mergeCells count="12">
    <mergeCell ref="A72:T72"/>
    <mergeCell ref="P2:Q2"/>
    <mergeCell ref="S2:T2"/>
    <mergeCell ref="A4:T4"/>
    <mergeCell ref="P18:Q18"/>
    <mergeCell ref="S18:T18"/>
    <mergeCell ref="A19:T19"/>
    <mergeCell ref="P37:Q37"/>
    <mergeCell ref="S37:T37"/>
    <mergeCell ref="A38:T38"/>
    <mergeCell ref="P71:Q71"/>
    <mergeCell ref="S71:T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2"/>
  <sheetViews>
    <sheetView workbookViewId="0">
      <selection activeCell="C1" sqref="C1"/>
    </sheetView>
  </sheetViews>
  <sheetFormatPr defaultColWidth="19.28515625" defaultRowHeight="15" x14ac:dyDescent="0.25"/>
  <cols>
    <col min="3" max="3" width="19.5703125" bestFit="1" customWidth="1"/>
  </cols>
  <sheetData>
    <row r="1" spans="1:7" ht="18.75" x14ac:dyDescent="0.3">
      <c r="A1" s="28" t="s">
        <v>2</v>
      </c>
      <c r="B1" s="29" t="s">
        <v>111</v>
      </c>
      <c r="C1" s="30">
        <v>200000</v>
      </c>
      <c r="D1" s="31"/>
      <c r="E1" s="31"/>
      <c r="F1" s="31"/>
      <c r="G1" s="31"/>
    </row>
    <row r="2" spans="1:7" ht="18.75" x14ac:dyDescent="0.3">
      <c r="A2" s="28" t="s">
        <v>80</v>
      </c>
      <c r="B2" s="29" t="s">
        <v>111</v>
      </c>
      <c r="C2" s="30">
        <v>20000</v>
      </c>
      <c r="D2" s="31"/>
      <c r="E2" s="31"/>
      <c r="F2" s="31"/>
      <c r="G2" s="31"/>
    </row>
    <row r="3" spans="1:7" ht="18.75" x14ac:dyDescent="0.3">
      <c r="A3" s="28" t="s">
        <v>112</v>
      </c>
      <c r="B3" s="29" t="s">
        <v>111</v>
      </c>
      <c r="C3" s="30">
        <f>+C1-C2</f>
        <v>180000</v>
      </c>
      <c r="D3" s="31"/>
      <c r="E3" s="31"/>
      <c r="F3" s="31"/>
      <c r="G3" s="31"/>
    </row>
    <row r="4" spans="1:7" ht="18.75" x14ac:dyDescent="0.3">
      <c r="A4" s="28" t="s">
        <v>113</v>
      </c>
      <c r="B4" s="29" t="s">
        <v>111</v>
      </c>
      <c r="C4" s="32">
        <f>4702*24</f>
        <v>112848</v>
      </c>
      <c r="D4" s="31"/>
      <c r="E4" s="31"/>
      <c r="F4" s="31"/>
      <c r="G4" s="31"/>
    </row>
    <row r="5" spans="1:7" ht="18.75" x14ac:dyDescent="0.3">
      <c r="A5" s="31"/>
      <c r="B5" s="31"/>
      <c r="C5" s="31"/>
      <c r="D5" s="31"/>
      <c r="E5" s="31"/>
      <c r="F5" s="31"/>
      <c r="G5" s="31"/>
    </row>
    <row r="6" spans="1:7" ht="18.75" x14ac:dyDescent="0.3">
      <c r="A6" s="33" t="s">
        <v>114</v>
      </c>
      <c r="B6" s="29" t="s">
        <v>115</v>
      </c>
      <c r="C6" s="34" t="s">
        <v>80</v>
      </c>
      <c r="D6" s="35" t="s">
        <v>116</v>
      </c>
      <c r="E6" s="35" t="s">
        <v>117</v>
      </c>
      <c r="F6" s="33" t="s">
        <v>118</v>
      </c>
      <c r="G6" s="31"/>
    </row>
    <row r="7" spans="1:7" ht="18.75" x14ac:dyDescent="0.3">
      <c r="A7" s="33">
        <v>6</v>
      </c>
      <c r="B7" s="36">
        <v>13519</v>
      </c>
      <c r="C7" s="30">
        <f>+C2</f>
        <v>20000</v>
      </c>
      <c r="D7" s="37">
        <f>+B7*A7+C7</f>
        <v>101114</v>
      </c>
      <c r="E7" s="35">
        <v>860</v>
      </c>
      <c r="F7" s="38">
        <f>+D7+E7</f>
        <v>101974</v>
      </c>
      <c r="G7" s="31"/>
    </row>
    <row r="8" spans="1:7" ht="18.75" x14ac:dyDescent="0.3">
      <c r="A8" s="33">
        <v>12</v>
      </c>
      <c r="B8" s="36">
        <v>7641</v>
      </c>
      <c r="C8" s="30">
        <f>+C2</f>
        <v>20000</v>
      </c>
      <c r="D8" s="37">
        <f>+A8*B8+C8</f>
        <v>111692</v>
      </c>
      <c r="E8" s="35">
        <v>860</v>
      </c>
      <c r="F8" s="38">
        <f>+D8+E8</f>
        <v>112552</v>
      </c>
      <c r="G8" s="31"/>
    </row>
    <row r="9" spans="1:7" ht="18.75" x14ac:dyDescent="0.3">
      <c r="A9" s="33">
        <v>18</v>
      </c>
      <c r="B9" s="36">
        <v>5682</v>
      </c>
      <c r="C9" s="30">
        <f>+C2</f>
        <v>20000</v>
      </c>
      <c r="D9" s="37">
        <f>+A9*B9+C9</f>
        <v>122276</v>
      </c>
      <c r="E9" s="35">
        <v>760</v>
      </c>
      <c r="F9" s="38">
        <f>+D9+E9</f>
        <v>123036</v>
      </c>
      <c r="G9" s="31"/>
    </row>
    <row r="10" spans="1:7" ht="18.75" x14ac:dyDescent="0.3">
      <c r="A10" s="33">
        <v>24</v>
      </c>
      <c r="B10" s="36">
        <v>4702</v>
      </c>
      <c r="C10" s="30">
        <f>+C2</f>
        <v>20000</v>
      </c>
      <c r="D10" s="37">
        <f>+A10*B10+C10</f>
        <v>132848</v>
      </c>
      <c r="E10" s="35">
        <v>760</v>
      </c>
      <c r="F10" s="38">
        <f>+D10+E10</f>
        <v>133608</v>
      </c>
      <c r="G10" s="31"/>
    </row>
    <row r="11" spans="1:7" ht="18.75" x14ac:dyDescent="0.3">
      <c r="A11" s="33">
        <v>30</v>
      </c>
      <c r="B11" s="36">
        <v>4511</v>
      </c>
      <c r="C11" s="30">
        <f>+C2</f>
        <v>20000</v>
      </c>
      <c r="D11" s="37">
        <f>+A11*B11+C11</f>
        <v>155330</v>
      </c>
      <c r="E11" s="35">
        <v>760</v>
      </c>
      <c r="F11" s="38">
        <f>+D11+E11</f>
        <v>156090</v>
      </c>
      <c r="G11" s="31"/>
    </row>
    <row r="12" spans="1:7" ht="18.75" x14ac:dyDescent="0.3">
      <c r="A12" s="33">
        <v>36</v>
      </c>
      <c r="B12" s="36">
        <v>4116</v>
      </c>
      <c r="C12" s="30">
        <f>+C2</f>
        <v>20000</v>
      </c>
      <c r="D12" s="37">
        <f>+A12*B12+C12</f>
        <v>168176</v>
      </c>
      <c r="E12" s="35">
        <v>260</v>
      </c>
      <c r="F12" s="38">
        <f>D12+E12</f>
        <v>168436</v>
      </c>
      <c r="G12" s="31"/>
    </row>
    <row r="13" spans="1:7" ht="18.75" x14ac:dyDescent="0.3">
      <c r="A13" s="31"/>
      <c r="B13" s="31"/>
      <c r="C13" s="31"/>
      <c r="D13" s="31"/>
      <c r="E13" s="31"/>
      <c r="F13" s="31"/>
      <c r="G13" s="31"/>
    </row>
    <row r="14" spans="1:7" ht="18.75" x14ac:dyDescent="0.3">
      <c r="A14" s="28" t="s">
        <v>80</v>
      </c>
      <c r="B14" s="39">
        <f>+C2</f>
        <v>20000</v>
      </c>
      <c r="C14" s="31"/>
      <c r="D14" s="28" t="s">
        <v>119</v>
      </c>
      <c r="E14" s="39">
        <v>1000</v>
      </c>
      <c r="F14" s="31"/>
      <c r="G14" s="31"/>
    </row>
    <row r="15" spans="1:7" ht="18.75" x14ac:dyDescent="0.3">
      <c r="A15" s="28" t="s">
        <v>120</v>
      </c>
      <c r="B15" s="39">
        <f>+C4</f>
        <v>112848</v>
      </c>
      <c r="C15" s="31"/>
      <c r="D15" s="28" t="s">
        <v>121</v>
      </c>
      <c r="E15" s="39">
        <v>200</v>
      </c>
      <c r="F15" s="31"/>
      <c r="G15" s="31"/>
    </row>
    <row r="16" spans="1:7" ht="18.75" x14ac:dyDescent="0.3">
      <c r="A16" s="28" t="s">
        <v>122</v>
      </c>
      <c r="B16" s="39">
        <f>+B14+B15</f>
        <v>132848</v>
      </c>
      <c r="C16" s="31"/>
      <c r="D16" s="28" t="s">
        <v>123</v>
      </c>
      <c r="E16" s="39">
        <v>500</v>
      </c>
      <c r="F16" s="31"/>
      <c r="G16" s="31"/>
    </row>
    <row r="17" spans="1:7" ht="18.75" x14ac:dyDescent="0.3">
      <c r="A17" s="40" t="s">
        <v>124</v>
      </c>
      <c r="B17" s="39">
        <f>+C1</f>
        <v>200000</v>
      </c>
      <c r="C17" s="31"/>
      <c r="D17" s="28" t="s">
        <v>125</v>
      </c>
      <c r="E17" s="39"/>
      <c r="F17" s="31"/>
      <c r="G17" s="31"/>
    </row>
    <row r="18" spans="1:7" ht="18.75" x14ac:dyDescent="0.3">
      <c r="A18" s="28" t="s">
        <v>126</v>
      </c>
      <c r="B18" s="39">
        <f>+B16-B17</f>
        <v>-67152</v>
      </c>
      <c r="C18" s="31"/>
      <c r="D18" s="28" t="s">
        <v>127</v>
      </c>
      <c r="E18" s="39">
        <f>+C1*1.5%</f>
        <v>3000</v>
      </c>
      <c r="F18" s="31"/>
      <c r="G18" s="31"/>
    </row>
    <row r="19" spans="1:7" ht="18.75" x14ac:dyDescent="0.3">
      <c r="A19" s="31"/>
      <c r="B19" s="31"/>
      <c r="C19" s="31"/>
      <c r="D19" s="28" t="s">
        <v>128</v>
      </c>
      <c r="E19" s="39">
        <f>+B18-E14-E15-E16-E17-E18</f>
        <v>-71852</v>
      </c>
      <c r="F19" s="39"/>
      <c r="G19" s="31"/>
    </row>
    <row r="26" spans="1:7" x14ac:dyDescent="0.25">
      <c r="C26">
        <f>2792-1248</f>
        <v>1544</v>
      </c>
    </row>
    <row r="34" spans="1:4" x14ac:dyDescent="0.25">
      <c r="A34" s="41"/>
      <c r="B34" s="41"/>
    </row>
    <row r="35" spans="1:4" x14ac:dyDescent="0.25">
      <c r="A35" s="41"/>
      <c r="B35" s="41"/>
    </row>
    <row r="36" spans="1:4" x14ac:dyDescent="0.25">
      <c r="A36" s="41"/>
      <c r="B36" s="42"/>
      <c r="C36" s="43"/>
      <c r="D36" s="43"/>
    </row>
    <row r="37" spans="1:4" x14ac:dyDescent="0.25">
      <c r="A37" s="41"/>
      <c r="B37" s="42"/>
      <c r="C37" s="42"/>
      <c r="D37" s="43"/>
    </row>
    <row r="38" spans="1:4" x14ac:dyDescent="0.25">
      <c r="A38" s="41"/>
      <c r="B38" s="42"/>
      <c r="C38" s="42"/>
      <c r="D38" s="43"/>
    </row>
    <row r="39" spans="1:4" x14ac:dyDescent="0.25">
      <c r="A39" s="41"/>
      <c r="B39" s="42"/>
      <c r="C39" s="42"/>
      <c r="D39" s="43"/>
    </row>
    <row r="40" spans="1:4" x14ac:dyDescent="0.25">
      <c r="A40" s="41"/>
      <c r="B40" s="41"/>
    </row>
    <row r="41" spans="1:4" x14ac:dyDescent="0.25">
      <c r="A41" s="41"/>
      <c r="B41" s="41"/>
    </row>
    <row r="42" spans="1:4" x14ac:dyDescent="0.25">
      <c r="A42" s="41"/>
      <c r="B42" s="41"/>
    </row>
    <row r="43" spans="1:4" x14ac:dyDescent="0.25">
      <c r="A43" s="41"/>
      <c r="B43" s="41"/>
    </row>
    <row r="44" spans="1:4" x14ac:dyDescent="0.25">
      <c r="A44" s="41"/>
      <c r="B44" s="41"/>
    </row>
    <row r="45" spans="1:4" x14ac:dyDescent="0.25">
      <c r="A45" s="41"/>
      <c r="B45" s="41"/>
    </row>
    <row r="46" spans="1:4" x14ac:dyDescent="0.25">
      <c r="A46" s="41"/>
      <c r="B46" s="41"/>
    </row>
    <row r="47" spans="1:4" x14ac:dyDescent="0.25">
      <c r="A47" s="41"/>
      <c r="B47" s="41"/>
    </row>
    <row r="48" spans="1:4" x14ac:dyDescent="0.25">
      <c r="A48" s="41"/>
      <c r="B48" s="41"/>
    </row>
    <row r="49" spans="1:5" x14ac:dyDescent="0.25">
      <c r="A49" s="41"/>
      <c r="B49" s="41"/>
    </row>
    <row r="50" spans="1:5" x14ac:dyDescent="0.25">
      <c r="A50" s="41"/>
      <c r="B50" s="41"/>
    </row>
    <row r="51" spans="1:5" x14ac:dyDescent="0.25">
      <c r="A51" s="41"/>
      <c r="B51" s="41"/>
    </row>
    <row r="52" spans="1:5" x14ac:dyDescent="0.25">
      <c r="A52" s="41"/>
      <c r="B52" s="41"/>
    </row>
    <row r="53" spans="1:5" x14ac:dyDescent="0.25">
      <c r="A53" s="41"/>
      <c r="B53" s="41"/>
    </row>
    <row r="55" spans="1:5" x14ac:dyDescent="0.25">
      <c r="B55" s="44"/>
    </row>
    <row r="57" spans="1:5" x14ac:dyDescent="0.25">
      <c r="A57" s="41"/>
      <c r="B57" s="41"/>
      <c r="C57" s="41"/>
      <c r="E57" s="41"/>
    </row>
    <row r="58" spans="1:5" x14ac:dyDescent="0.25">
      <c r="A58" s="41"/>
      <c r="B58" s="41"/>
      <c r="C58" s="41"/>
      <c r="E58" s="41"/>
    </row>
    <row r="59" spans="1:5" x14ac:dyDescent="0.25">
      <c r="A59" s="41"/>
      <c r="B59" s="41"/>
      <c r="C59" s="41"/>
      <c r="E59" s="41"/>
    </row>
    <row r="60" spans="1:5" x14ac:dyDescent="0.25">
      <c r="A60" s="41"/>
      <c r="B60" s="41"/>
      <c r="C60" s="41"/>
      <c r="E60" s="41"/>
    </row>
    <row r="61" spans="1:5" x14ac:dyDescent="0.25">
      <c r="A61" s="41"/>
      <c r="B61" s="41"/>
      <c r="C61" s="41"/>
      <c r="E61" s="41"/>
    </row>
    <row r="62" spans="1:5" x14ac:dyDescent="0.25">
      <c r="C62" s="41"/>
      <c r="E62" s="41"/>
    </row>
    <row r="63" spans="1:5" x14ac:dyDescent="0.25">
      <c r="C63" s="41"/>
      <c r="E63" s="41"/>
    </row>
    <row r="64" spans="1:5" x14ac:dyDescent="0.25">
      <c r="A64" s="44"/>
      <c r="C64" s="41"/>
      <c r="E64" s="41"/>
    </row>
    <row r="65" spans="1:6" x14ac:dyDescent="0.25">
      <c r="A65" s="44"/>
      <c r="C65" s="41"/>
      <c r="E65" s="41"/>
    </row>
    <row r="66" spans="1:6" x14ac:dyDescent="0.25">
      <c r="E66" s="41"/>
    </row>
    <row r="67" spans="1:6" x14ac:dyDescent="0.25">
      <c r="A67" s="44"/>
      <c r="C67" s="44"/>
      <c r="E67" s="41"/>
    </row>
    <row r="69" spans="1:6" x14ac:dyDescent="0.25">
      <c r="E69" s="44"/>
      <c r="F69" s="44"/>
    </row>
    <row r="70" spans="1:6" x14ac:dyDescent="0.25">
      <c r="E70" s="44"/>
    </row>
    <row r="71" spans="1:6" x14ac:dyDescent="0.25">
      <c r="C71" s="44"/>
      <c r="E71" s="44"/>
    </row>
    <row r="72" spans="1:6" x14ac:dyDescent="0.25">
      <c r="E72" s="44"/>
    </row>
    <row r="78" spans="1:6" x14ac:dyDescent="0.25">
      <c r="C78" s="44"/>
    </row>
    <row r="81" spans="3:3" x14ac:dyDescent="0.25">
      <c r="C81" s="41"/>
    </row>
    <row r="82" spans="3:3" x14ac:dyDescent="0.25">
      <c r="C82" s="41"/>
    </row>
    <row r="83" spans="3:3" x14ac:dyDescent="0.25">
      <c r="C83" s="41"/>
    </row>
    <row r="84" spans="3:3" x14ac:dyDescent="0.25">
      <c r="C84" s="41"/>
    </row>
    <row r="85" spans="3:3" x14ac:dyDescent="0.25">
      <c r="C85" s="41"/>
    </row>
    <row r="86" spans="3:3" x14ac:dyDescent="0.25">
      <c r="C86" s="41"/>
    </row>
    <row r="87" spans="3:3" x14ac:dyDescent="0.25">
      <c r="C87" s="41"/>
    </row>
    <row r="88" spans="3:3" x14ac:dyDescent="0.25">
      <c r="C88" s="41"/>
    </row>
    <row r="89" spans="3:3" x14ac:dyDescent="0.25">
      <c r="C89" s="41"/>
    </row>
    <row r="90" spans="3:3" x14ac:dyDescent="0.25">
      <c r="C90" s="41"/>
    </row>
    <row r="91" spans="3:3" x14ac:dyDescent="0.25">
      <c r="C91" s="41"/>
    </row>
    <row r="92" spans="3:3" x14ac:dyDescent="0.25">
      <c r="C92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PRICING</vt:lpstr>
      <vt:lpstr>FOR PRINT</vt:lpstr>
      <vt:lpstr>OLD MODELS</vt:lpstr>
      <vt:lpstr>Sheet3</vt:lpstr>
      <vt:lpstr>'FOR PRINT'!Print_Area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2025-02-04T01:11:38Z</cp:lastPrinted>
  <dcterms:created xsi:type="dcterms:W3CDTF">2013-04-08T00:15:30Z</dcterms:created>
  <dcterms:modified xsi:type="dcterms:W3CDTF">2025-10-16T03:18:01Z</dcterms:modified>
</cp:coreProperties>
</file>